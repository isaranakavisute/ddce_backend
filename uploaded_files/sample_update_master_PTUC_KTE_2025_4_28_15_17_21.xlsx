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Tsubakimoto\Data\cleansing\master_4_share\"/>
    </mc:Choice>
  </mc:AlternateContent>
  <xr:revisionPtr revIDLastSave="0" documentId="13_ncr:1_{ADB8C020-61D5-492A-9B0C-28D7BD38E60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KT updated Data" sheetId="1" r:id="rId1"/>
  </sheets>
  <definedNames>
    <definedName name="_xlnm._FilterDatabase" localSheetId="0" hidden="1">'AKT updated Data'!$A$4:$AE$706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06" i="1" l="1"/>
  <c r="R706" i="1" s="1"/>
  <c r="K706" i="1"/>
  <c r="I706" i="1"/>
  <c r="S705" i="1"/>
  <c r="Y705" i="1" s="1"/>
  <c r="Q705" i="1"/>
  <c r="R705" i="1" s="1"/>
  <c r="X705" i="1" s="1"/>
  <c r="K705" i="1"/>
  <c r="I705" i="1"/>
  <c r="Q704" i="1"/>
  <c r="S704" i="1" s="1"/>
  <c r="Y704" i="1" s="1"/>
  <c r="K704" i="1"/>
  <c r="I704" i="1"/>
  <c r="Q703" i="1"/>
  <c r="S703" i="1" s="1"/>
  <c r="Y703" i="1" s="1"/>
  <c r="K703" i="1"/>
  <c r="I703" i="1"/>
  <c r="Q702" i="1"/>
  <c r="K702" i="1"/>
  <c r="I702" i="1"/>
  <c r="Q701" i="1"/>
  <c r="S701" i="1" s="1"/>
  <c r="Y701" i="1" s="1"/>
  <c r="K701" i="1"/>
  <c r="I701" i="1"/>
  <c r="Q700" i="1"/>
  <c r="S700" i="1" s="1"/>
  <c r="Y700" i="1" s="1"/>
  <c r="K700" i="1"/>
  <c r="I700" i="1"/>
  <c r="Q699" i="1"/>
  <c r="R699" i="1" s="1"/>
  <c r="K699" i="1"/>
  <c r="I699" i="1"/>
  <c r="S698" i="1"/>
  <c r="Y698" i="1" s="1"/>
  <c r="Q698" i="1"/>
  <c r="R698" i="1" s="1"/>
  <c r="K698" i="1"/>
  <c r="I698" i="1"/>
  <c r="Q697" i="1"/>
  <c r="S697" i="1" s="1"/>
  <c r="Y697" i="1" s="1"/>
  <c r="K697" i="1"/>
  <c r="I697" i="1"/>
  <c r="Q696" i="1"/>
  <c r="S696" i="1" s="1"/>
  <c r="Y696" i="1" s="1"/>
  <c r="K696" i="1"/>
  <c r="I696" i="1"/>
  <c r="Q695" i="1"/>
  <c r="S695" i="1" s="1"/>
  <c r="Y695" i="1" s="1"/>
  <c r="K695" i="1"/>
  <c r="I695" i="1"/>
  <c r="Q694" i="1"/>
  <c r="K694" i="1"/>
  <c r="I694" i="1"/>
  <c r="Q693" i="1"/>
  <c r="S693" i="1" s="1"/>
  <c r="Y693" i="1" s="1"/>
  <c r="K693" i="1"/>
  <c r="I693" i="1"/>
  <c r="Q692" i="1"/>
  <c r="S692" i="1" s="1"/>
  <c r="Y692" i="1" s="1"/>
  <c r="K692" i="1"/>
  <c r="I692" i="1"/>
  <c r="Q691" i="1"/>
  <c r="S691" i="1" s="1"/>
  <c r="Y691" i="1" s="1"/>
  <c r="K691" i="1"/>
  <c r="I691" i="1"/>
  <c r="Q690" i="1"/>
  <c r="S690" i="1" s="1"/>
  <c r="Y690" i="1" s="1"/>
  <c r="K690" i="1"/>
  <c r="I690" i="1"/>
  <c r="Q689" i="1"/>
  <c r="R689" i="1" s="1"/>
  <c r="K689" i="1"/>
  <c r="I689" i="1"/>
  <c r="Q688" i="1"/>
  <c r="S688" i="1" s="1"/>
  <c r="Y688" i="1" s="1"/>
  <c r="K688" i="1"/>
  <c r="I688" i="1"/>
  <c r="Q687" i="1"/>
  <c r="S687" i="1" s="1"/>
  <c r="Y687" i="1" s="1"/>
  <c r="K687" i="1"/>
  <c r="I687" i="1"/>
  <c r="Q686" i="1"/>
  <c r="S686" i="1" s="1"/>
  <c r="Y686" i="1" s="1"/>
  <c r="K686" i="1"/>
  <c r="I686" i="1"/>
  <c r="Q685" i="1"/>
  <c r="K685" i="1"/>
  <c r="I685" i="1"/>
  <c r="Q684" i="1"/>
  <c r="S684" i="1" s="1"/>
  <c r="Y684" i="1" s="1"/>
  <c r="K684" i="1"/>
  <c r="I684" i="1"/>
  <c r="Q683" i="1"/>
  <c r="R683" i="1" s="1"/>
  <c r="K683" i="1"/>
  <c r="I683" i="1"/>
  <c r="Q682" i="1"/>
  <c r="K682" i="1"/>
  <c r="I682" i="1"/>
  <c r="Q681" i="1"/>
  <c r="K681" i="1"/>
  <c r="I681" i="1"/>
  <c r="Q680" i="1"/>
  <c r="S680" i="1" s="1"/>
  <c r="Y680" i="1" s="1"/>
  <c r="K680" i="1"/>
  <c r="I680" i="1"/>
  <c r="Q679" i="1"/>
  <c r="S679" i="1" s="1"/>
  <c r="Y679" i="1" s="1"/>
  <c r="K679" i="1"/>
  <c r="I679" i="1"/>
  <c r="Q678" i="1"/>
  <c r="S678" i="1" s="1"/>
  <c r="Y678" i="1" s="1"/>
  <c r="K678" i="1"/>
  <c r="I678" i="1"/>
  <c r="Q677" i="1"/>
  <c r="R677" i="1" s="1"/>
  <c r="K677" i="1"/>
  <c r="I677" i="1"/>
  <c r="Q676" i="1"/>
  <c r="R676" i="1" s="1"/>
  <c r="X676" i="1" s="1"/>
  <c r="K676" i="1"/>
  <c r="I676" i="1"/>
  <c r="Q675" i="1"/>
  <c r="K675" i="1"/>
  <c r="I675" i="1"/>
  <c r="Q674" i="1"/>
  <c r="S674" i="1" s="1"/>
  <c r="Y674" i="1" s="1"/>
  <c r="K674" i="1"/>
  <c r="I674" i="1"/>
  <c r="Q673" i="1"/>
  <c r="K673" i="1"/>
  <c r="I673" i="1"/>
  <c r="Q672" i="1"/>
  <c r="S672" i="1" s="1"/>
  <c r="Y672" i="1" s="1"/>
  <c r="K672" i="1"/>
  <c r="I672" i="1"/>
  <c r="Q671" i="1"/>
  <c r="S671" i="1" s="1"/>
  <c r="Y671" i="1" s="1"/>
  <c r="K671" i="1"/>
  <c r="I671" i="1"/>
  <c r="Q670" i="1"/>
  <c r="K670" i="1"/>
  <c r="I670" i="1"/>
  <c r="Q669" i="1"/>
  <c r="R669" i="1" s="1"/>
  <c r="K669" i="1"/>
  <c r="I669" i="1"/>
  <c r="Q668" i="1"/>
  <c r="S668" i="1" s="1"/>
  <c r="Y668" i="1" s="1"/>
  <c r="K668" i="1"/>
  <c r="I668" i="1"/>
  <c r="Q667" i="1"/>
  <c r="S667" i="1" s="1"/>
  <c r="Y667" i="1" s="1"/>
  <c r="K667" i="1"/>
  <c r="I667" i="1"/>
  <c r="Q666" i="1"/>
  <c r="S666" i="1" s="1"/>
  <c r="Y666" i="1" s="1"/>
  <c r="K666" i="1"/>
  <c r="I666" i="1"/>
  <c r="Q665" i="1"/>
  <c r="K665" i="1"/>
  <c r="I665" i="1"/>
  <c r="Q664" i="1"/>
  <c r="S664" i="1" s="1"/>
  <c r="Y664" i="1" s="1"/>
  <c r="K664" i="1"/>
  <c r="I664" i="1"/>
  <c r="Q663" i="1"/>
  <c r="S663" i="1" s="1"/>
  <c r="Y663" i="1" s="1"/>
  <c r="K663" i="1"/>
  <c r="I663" i="1"/>
  <c r="Q662" i="1"/>
  <c r="S662" i="1" s="1"/>
  <c r="Y662" i="1" s="1"/>
  <c r="K662" i="1"/>
  <c r="I662" i="1"/>
  <c r="Q661" i="1"/>
  <c r="K661" i="1"/>
  <c r="I661" i="1"/>
  <c r="Q660" i="1"/>
  <c r="K660" i="1"/>
  <c r="I660" i="1"/>
  <c r="Q659" i="1"/>
  <c r="S659" i="1" s="1"/>
  <c r="Y659" i="1" s="1"/>
  <c r="K659" i="1"/>
  <c r="I659" i="1"/>
  <c r="Q658" i="1"/>
  <c r="R658" i="1" s="1"/>
  <c r="X658" i="1" s="1"/>
  <c r="K658" i="1"/>
  <c r="I658" i="1"/>
  <c r="Q657" i="1"/>
  <c r="K657" i="1"/>
  <c r="I657" i="1"/>
  <c r="Q656" i="1"/>
  <c r="K656" i="1"/>
  <c r="I656" i="1"/>
  <c r="Q655" i="1"/>
  <c r="S655" i="1" s="1"/>
  <c r="Y655" i="1" s="1"/>
  <c r="K655" i="1"/>
  <c r="I655" i="1"/>
  <c r="Q654" i="1"/>
  <c r="S654" i="1" s="1"/>
  <c r="Y654" i="1" s="1"/>
  <c r="K654" i="1"/>
  <c r="I654" i="1"/>
  <c r="Q653" i="1"/>
  <c r="K653" i="1"/>
  <c r="I653" i="1"/>
  <c r="Q652" i="1"/>
  <c r="K652" i="1"/>
  <c r="I652" i="1"/>
  <c r="Q651" i="1"/>
  <c r="S651" i="1" s="1"/>
  <c r="Y651" i="1" s="1"/>
  <c r="K651" i="1"/>
  <c r="I651" i="1"/>
  <c r="Q650" i="1"/>
  <c r="K650" i="1"/>
  <c r="I650" i="1"/>
  <c r="Q649" i="1"/>
  <c r="S649" i="1" s="1"/>
  <c r="Y649" i="1" s="1"/>
  <c r="K649" i="1"/>
  <c r="I649" i="1"/>
  <c r="Q648" i="1"/>
  <c r="S648" i="1" s="1"/>
  <c r="Y648" i="1" s="1"/>
  <c r="K648" i="1"/>
  <c r="I648" i="1"/>
  <c r="Q647" i="1"/>
  <c r="R647" i="1" s="1"/>
  <c r="K647" i="1"/>
  <c r="I647" i="1"/>
  <c r="Q646" i="1"/>
  <c r="R646" i="1" s="1"/>
  <c r="X646" i="1" s="1"/>
  <c r="K646" i="1"/>
  <c r="I646" i="1"/>
  <c r="Q645" i="1"/>
  <c r="K645" i="1"/>
  <c r="I645" i="1"/>
  <c r="Q644" i="1"/>
  <c r="K644" i="1"/>
  <c r="I644" i="1"/>
  <c r="Q643" i="1"/>
  <c r="S643" i="1" s="1"/>
  <c r="Y643" i="1" s="1"/>
  <c r="K643" i="1"/>
  <c r="I643" i="1"/>
  <c r="Q642" i="1"/>
  <c r="S642" i="1" s="1"/>
  <c r="Y642" i="1" s="1"/>
  <c r="K642" i="1"/>
  <c r="I642" i="1"/>
  <c r="Q641" i="1"/>
  <c r="S641" i="1" s="1"/>
  <c r="Y641" i="1" s="1"/>
  <c r="K641" i="1"/>
  <c r="I641" i="1"/>
  <c r="Q640" i="1"/>
  <c r="S640" i="1" s="1"/>
  <c r="Y640" i="1" s="1"/>
  <c r="K640" i="1"/>
  <c r="I640" i="1"/>
  <c r="Q639" i="1"/>
  <c r="S639" i="1" s="1"/>
  <c r="Y639" i="1" s="1"/>
  <c r="K639" i="1"/>
  <c r="I639" i="1"/>
  <c r="Q638" i="1"/>
  <c r="R638" i="1" s="1"/>
  <c r="K638" i="1"/>
  <c r="I638" i="1"/>
  <c r="Q637" i="1"/>
  <c r="S637" i="1" s="1"/>
  <c r="Y637" i="1" s="1"/>
  <c r="K637" i="1"/>
  <c r="I637" i="1"/>
  <c r="Q636" i="1"/>
  <c r="K636" i="1"/>
  <c r="I636" i="1"/>
  <c r="Q635" i="1"/>
  <c r="R635" i="1" s="1"/>
  <c r="X635" i="1" s="1"/>
  <c r="K635" i="1"/>
  <c r="I635" i="1"/>
  <c r="Q634" i="1"/>
  <c r="S634" i="1" s="1"/>
  <c r="Y634" i="1" s="1"/>
  <c r="K634" i="1"/>
  <c r="I634" i="1"/>
  <c r="Q633" i="1"/>
  <c r="R633" i="1" s="1"/>
  <c r="K633" i="1"/>
  <c r="I633" i="1"/>
  <c r="Q632" i="1"/>
  <c r="S632" i="1" s="1"/>
  <c r="Y632" i="1" s="1"/>
  <c r="K632" i="1"/>
  <c r="I632" i="1"/>
  <c r="Q631" i="1"/>
  <c r="K631" i="1"/>
  <c r="I631" i="1"/>
  <c r="Q630" i="1"/>
  <c r="S630" i="1" s="1"/>
  <c r="Y630" i="1" s="1"/>
  <c r="K630" i="1"/>
  <c r="I630" i="1"/>
  <c r="Q629" i="1"/>
  <c r="K629" i="1"/>
  <c r="I629" i="1"/>
  <c r="Q628" i="1"/>
  <c r="S628" i="1" s="1"/>
  <c r="Y628" i="1" s="1"/>
  <c r="K628" i="1"/>
  <c r="I628" i="1"/>
  <c r="R627" i="1"/>
  <c r="Q627" i="1"/>
  <c r="S627" i="1" s="1"/>
  <c r="Y627" i="1" s="1"/>
  <c r="K627" i="1"/>
  <c r="I627" i="1"/>
  <c r="Q626" i="1"/>
  <c r="K626" i="1"/>
  <c r="I626" i="1"/>
  <c r="Q625" i="1"/>
  <c r="R625" i="1" s="1"/>
  <c r="K625" i="1"/>
  <c r="I625" i="1"/>
  <c r="Q624" i="1"/>
  <c r="S624" i="1" s="1"/>
  <c r="Y624" i="1" s="1"/>
  <c r="K624" i="1"/>
  <c r="I624" i="1"/>
  <c r="Q623" i="1"/>
  <c r="K623" i="1"/>
  <c r="I623" i="1"/>
  <c r="Q622" i="1"/>
  <c r="K622" i="1"/>
  <c r="I622" i="1"/>
  <c r="Q621" i="1"/>
  <c r="K621" i="1"/>
  <c r="I621" i="1"/>
  <c r="Q620" i="1"/>
  <c r="S620" i="1" s="1"/>
  <c r="Y620" i="1" s="1"/>
  <c r="K620" i="1"/>
  <c r="I620" i="1"/>
  <c r="Q619" i="1"/>
  <c r="S619" i="1" s="1"/>
  <c r="Y619" i="1" s="1"/>
  <c r="K619" i="1"/>
  <c r="I619" i="1"/>
  <c r="Q618" i="1"/>
  <c r="K618" i="1"/>
  <c r="I618" i="1"/>
  <c r="Q617" i="1"/>
  <c r="S617" i="1" s="1"/>
  <c r="Y617" i="1" s="1"/>
  <c r="K617" i="1"/>
  <c r="I617" i="1"/>
  <c r="Q616" i="1"/>
  <c r="S616" i="1" s="1"/>
  <c r="Y616" i="1" s="1"/>
  <c r="K616" i="1"/>
  <c r="I616" i="1"/>
  <c r="Q615" i="1"/>
  <c r="R615" i="1" s="1"/>
  <c r="X615" i="1" s="1"/>
  <c r="K615" i="1"/>
  <c r="I615" i="1"/>
  <c r="R614" i="1"/>
  <c r="Q614" i="1"/>
  <c r="S614" i="1" s="1"/>
  <c r="Y614" i="1" s="1"/>
  <c r="K614" i="1"/>
  <c r="I614" i="1"/>
  <c r="Q613" i="1"/>
  <c r="S613" i="1" s="1"/>
  <c r="Y613" i="1" s="1"/>
  <c r="K613" i="1"/>
  <c r="I613" i="1"/>
  <c r="Q612" i="1"/>
  <c r="S612" i="1" s="1"/>
  <c r="Y612" i="1" s="1"/>
  <c r="K612" i="1"/>
  <c r="I612" i="1"/>
  <c r="Q611" i="1"/>
  <c r="S611" i="1" s="1"/>
  <c r="Y611" i="1" s="1"/>
  <c r="K611" i="1"/>
  <c r="I611" i="1"/>
  <c r="Q610" i="1"/>
  <c r="K610" i="1"/>
  <c r="I610" i="1"/>
  <c r="Q609" i="1"/>
  <c r="S609" i="1" s="1"/>
  <c r="Y609" i="1" s="1"/>
  <c r="K609" i="1"/>
  <c r="I609" i="1"/>
  <c r="Q608" i="1"/>
  <c r="S608" i="1" s="1"/>
  <c r="Y608" i="1" s="1"/>
  <c r="K608" i="1"/>
  <c r="I608" i="1"/>
  <c r="Q607" i="1"/>
  <c r="S607" i="1" s="1"/>
  <c r="Y607" i="1" s="1"/>
  <c r="K607" i="1"/>
  <c r="I607" i="1"/>
  <c r="Q606" i="1"/>
  <c r="S606" i="1" s="1"/>
  <c r="Y606" i="1" s="1"/>
  <c r="K606" i="1"/>
  <c r="I606" i="1"/>
  <c r="Q605" i="1"/>
  <c r="R605" i="1" s="1"/>
  <c r="X605" i="1" s="1"/>
  <c r="K605" i="1"/>
  <c r="I605" i="1"/>
  <c r="Q604" i="1"/>
  <c r="S604" i="1" s="1"/>
  <c r="Y604" i="1" s="1"/>
  <c r="K604" i="1"/>
  <c r="I604" i="1"/>
  <c r="Q603" i="1"/>
  <c r="S603" i="1" s="1"/>
  <c r="Y603" i="1" s="1"/>
  <c r="K603" i="1"/>
  <c r="I603" i="1"/>
  <c r="Q602" i="1"/>
  <c r="S602" i="1" s="1"/>
  <c r="Y602" i="1" s="1"/>
  <c r="K602" i="1"/>
  <c r="I602" i="1"/>
  <c r="S601" i="1"/>
  <c r="Y601" i="1" s="1"/>
  <c r="Q601" i="1"/>
  <c r="R601" i="1" s="1"/>
  <c r="K601" i="1"/>
  <c r="I601" i="1"/>
  <c r="Q600" i="1"/>
  <c r="R600" i="1" s="1"/>
  <c r="K600" i="1"/>
  <c r="I600" i="1"/>
  <c r="Q599" i="1"/>
  <c r="S599" i="1" s="1"/>
  <c r="Y599" i="1" s="1"/>
  <c r="K599" i="1"/>
  <c r="I599" i="1"/>
  <c r="Q598" i="1"/>
  <c r="K598" i="1"/>
  <c r="I598" i="1"/>
  <c r="Q597" i="1"/>
  <c r="R597" i="1" s="1"/>
  <c r="X597" i="1" s="1"/>
  <c r="K597" i="1"/>
  <c r="I597" i="1"/>
  <c r="Q596" i="1"/>
  <c r="R596" i="1" s="1"/>
  <c r="K596" i="1"/>
  <c r="I596" i="1"/>
  <c r="Q595" i="1"/>
  <c r="R595" i="1" s="1"/>
  <c r="K595" i="1"/>
  <c r="I595" i="1"/>
  <c r="Q594" i="1"/>
  <c r="K594" i="1"/>
  <c r="I594" i="1"/>
  <c r="Q593" i="1"/>
  <c r="K593" i="1"/>
  <c r="I593" i="1"/>
  <c r="Q592" i="1"/>
  <c r="S592" i="1" s="1"/>
  <c r="Y592" i="1" s="1"/>
  <c r="K592" i="1"/>
  <c r="I592" i="1"/>
  <c r="Q591" i="1"/>
  <c r="S591" i="1" s="1"/>
  <c r="Y591" i="1" s="1"/>
  <c r="K591" i="1"/>
  <c r="I591" i="1"/>
  <c r="Q590" i="1"/>
  <c r="K590" i="1"/>
  <c r="I590" i="1"/>
  <c r="Q589" i="1"/>
  <c r="K589" i="1"/>
  <c r="I589" i="1"/>
  <c r="Q588" i="1"/>
  <c r="K588" i="1"/>
  <c r="I588" i="1"/>
  <c r="Q587" i="1"/>
  <c r="K587" i="1"/>
  <c r="I587" i="1"/>
  <c r="Q586" i="1"/>
  <c r="S586" i="1" s="1"/>
  <c r="Y586" i="1" s="1"/>
  <c r="K586" i="1"/>
  <c r="I586" i="1"/>
  <c r="Q585" i="1"/>
  <c r="R585" i="1" s="1"/>
  <c r="K585" i="1"/>
  <c r="I585" i="1"/>
  <c r="Q584" i="1"/>
  <c r="K584" i="1"/>
  <c r="I584" i="1"/>
  <c r="Q583" i="1"/>
  <c r="K583" i="1"/>
  <c r="I583" i="1"/>
  <c r="Q582" i="1"/>
  <c r="K582" i="1"/>
  <c r="I582" i="1"/>
  <c r="Q581" i="1"/>
  <c r="R581" i="1" s="1"/>
  <c r="X581" i="1" s="1"/>
  <c r="K581" i="1"/>
  <c r="I581" i="1"/>
  <c r="Q580" i="1"/>
  <c r="R580" i="1" s="1"/>
  <c r="K580" i="1"/>
  <c r="I580" i="1"/>
  <c r="Q579" i="1"/>
  <c r="S579" i="1" s="1"/>
  <c r="Y579" i="1" s="1"/>
  <c r="K579" i="1"/>
  <c r="I579" i="1"/>
  <c r="Q578" i="1"/>
  <c r="R578" i="1" s="1"/>
  <c r="K578" i="1"/>
  <c r="I578" i="1"/>
  <c r="Q577" i="1"/>
  <c r="S577" i="1" s="1"/>
  <c r="Y577" i="1" s="1"/>
  <c r="K577" i="1"/>
  <c r="I577" i="1"/>
  <c r="Q576" i="1"/>
  <c r="K576" i="1"/>
  <c r="I576" i="1"/>
  <c r="Q575" i="1"/>
  <c r="R575" i="1" s="1"/>
  <c r="X575" i="1" s="1"/>
  <c r="K575" i="1"/>
  <c r="I575" i="1"/>
  <c r="Q574" i="1"/>
  <c r="S574" i="1" s="1"/>
  <c r="Y574" i="1" s="1"/>
  <c r="K574" i="1"/>
  <c r="I574" i="1"/>
  <c r="Q573" i="1"/>
  <c r="K573" i="1"/>
  <c r="I573" i="1"/>
  <c r="Q572" i="1"/>
  <c r="S572" i="1" s="1"/>
  <c r="Y572" i="1" s="1"/>
  <c r="K572" i="1"/>
  <c r="I572" i="1"/>
  <c r="Q571" i="1"/>
  <c r="S571" i="1" s="1"/>
  <c r="Y571" i="1" s="1"/>
  <c r="K571" i="1"/>
  <c r="I571" i="1"/>
  <c r="Q570" i="1"/>
  <c r="K570" i="1"/>
  <c r="I570" i="1"/>
  <c r="Q569" i="1"/>
  <c r="R569" i="1" s="1"/>
  <c r="X569" i="1" s="1"/>
  <c r="K569" i="1"/>
  <c r="I569" i="1"/>
  <c r="Q568" i="1"/>
  <c r="S568" i="1" s="1"/>
  <c r="Y568" i="1" s="1"/>
  <c r="K568" i="1"/>
  <c r="I568" i="1"/>
  <c r="Q567" i="1"/>
  <c r="R567" i="1" s="1"/>
  <c r="X567" i="1" s="1"/>
  <c r="K567" i="1"/>
  <c r="I567" i="1"/>
  <c r="Q566" i="1"/>
  <c r="S566" i="1" s="1"/>
  <c r="Y566" i="1" s="1"/>
  <c r="K566" i="1"/>
  <c r="I566" i="1"/>
  <c r="R565" i="1"/>
  <c r="Q565" i="1"/>
  <c r="S565" i="1" s="1"/>
  <c r="Y565" i="1" s="1"/>
  <c r="K565" i="1"/>
  <c r="I565" i="1"/>
  <c r="Q564" i="1"/>
  <c r="K564" i="1"/>
  <c r="I564" i="1"/>
  <c r="Q563" i="1"/>
  <c r="S563" i="1" s="1"/>
  <c r="Y563" i="1" s="1"/>
  <c r="K563" i="1"/>
  <c r="I563" i="1"/>
  <c r="Q562" i="1"/>
  <c r="S562" i="1" s="1"/>
  <c r="Y562" i="1" s="1"/>
  <c r="K562" i="1"/>
  <c r="I562" i="1"/>
  <c r="S561" i="1"/>
  <c r="Y561" i="1" s="1"/>
  <c r="Q561" i="1"/>
  <c r="R561" i="1" s="1"/>
  <c r="K561" i="1"/>
  <c r="I561" i="1"/>
  <c r="Q560" i="1"/>
  <c r="S560" i="1" s="1"/>
  <c r="Y560" i="1" s="1"/>
  <c r="K560" i="1"/>
  <c r="I560" i="1"/>
  <c r="Q559" i="1"/>
  <c r="R559" i="1" s="1"/>
  <c r="K559" i="1"/>
  <c r="I559" i="1"/>
  <c r="Q558" i="1"/>
  <c r="R558" i="1" s="1"/>
  <c r="K558" i="1"/>
  <c r="I558" i="1"/>
  <c r="Q557" i="1"/>
  <c r="K557" i="1"/>
  <c r="I557" i="1"/>
  <c r="Q556" i="1"/>
  <c r="K556" i="1"/>
  <c r="I556" i="1"/>
  <c r="Q555" i="1"/>
  <c r="K555" i="1"/>
  <c r="I555" i="1"/>
  <c r="Q554" i="1"/>
  <c r="S554" i="1" s="1"/>
  <c r="Y554" i="1" s="1"/>
  <c r="K554" i="1"/>
  <c r="I554" i="1"/>
  <c r="Q553" i="1"/>
  <c r="S553" i="1" s="1"/>
  <c r="Y553" i="1" s="1"/>
  <c r="K553" i="1"/>
  <c r="I553" i="1"/>
  <c r="Q552" i="1"/>
  <c r="R552" i="1" s="1"/>
  <c r="K552" i="1"/>
  <c r="I552" i="1"/>
  <c r="Q551" i="1"/>
  <c r="S551" i="1" s="1"/>
  <c r="Y551" i="1" s="1"/>
  <c r="K551" i="1"/>
  <c r="I551" i="1"/>
  <c r="Q550" i="1"/>
  <c r="S550" i="1" s="1"/>
  <c r="Y550" i="1" s="1"/>
  <c r="K550" i="1"/>
  <c r="I550" i="1"/>
  <c r="Q549" i="1"/>
  <c r="S549" i="1" s="1"/>
  <c r="Y549" i="1" s="1"/>
  <c r="K549" i="1"/>
  <c r="I549" i="1"/>
  <c r="Q548" i="1"/>
  <c r="R548" i="1" s="1"/>
  <c r="K548" i="1"/>
  <c r="I548" i="1"/>
  <c r="Q547" i="1"/>
  <c r="S547" i="1" s="1"/>
  <c r="Y547" i="1" s="1"/>
  <c r="K547" i="1"/>
  <c r="I547" i="1"/>
  <c r="R546" i="1"/>
  <c r="U546" i="1" s="1"/>
  <c r="Q546" i="1"/>
  <c r="S546" i="1" s="1"/>
  <c r="Y546" i="1" s="1"/>
  <c r="K546" i="1"/>
  <c r="I546" i="1"/>
  <c r="Q545" i="1"/>
  <c r="S545" i="1" s="1"/>
  <c r="Y545" i="1" s="1"/>
  <c r="K545" i="1"/>
  <c r="I545" i="1"/>
  <c r="Q544" i="1"/>
  <c r="S544" i="1" s="1"/>
  <c r="Y544" i="1" s="1"/>
  <c r="K544" i="1"/>
  <c r="I544" i="1"/>
  <c r="Q543" i="1"/>
  <c r="K543" i="1"/>
  <c r="I543" i="1"/>
  <c r="Q542" i="1"/>
  <c r="S542" i="1" s="1"/>
  <c r="Y542" i="1" s="1"/>
  <c r="K542" i="1"/>
  <c r="I542" i="1"/>
  <c r="Q541" i="1"/>
  <c r="K541" i="1"/>
  <c r="I541" i="1"/>
  <c r="Q540" i="1"/>
  <c r="K540" i="1"/>
  <c r="I540" i="1"/>
  <c r="Q539" i="1"/>
  <c r="S539" i="1" s="1"/>
  <c r="Y539" i="1" s="1"/>
  <c r="K539" i="1"/>
  <c r="I539" i="1"/>
  <c r="Q538" i="1"/>
  <c r="S538" i="1" s="1"/>
  <c r="Y538" i="1" s="1"/>
  <c r="K538" i="1"/>
  <c r="I538" i="1"/>
  <c r="Q537" i="1"/>
  <c r="R537" i="1" s="1"/>
  <c r="K537" i="1"/>
  <c r="I537" i="1"/>
  <c r="R536" i="1"/>
  <c r="Q536" i="1"/>
  <c r="S536" i="1" s="1"/>
  <c r="Y536" i="1" s="1"/>
  <c r="K536" i="1"/>
  <c r="I536" i="1"/>
  <c r="Q535" i="1"/>
  <c r="R535" i="1" s="1"/>
  <c r="U535" i="1" s="1"/>
  <c r="K535" i="1"/>
  <c r="I535" i="1"/>
  <c r="Q534" i="1"/>
  <c r="K534" i="1"/>
  <c r="I534" i="1"/>
  <c r="R533" i="1"/>
  <c r="U533" i="1" s="1"/>
  <c r="Q533" i="1"/>
  <c r="S533" i="1" s="1"/>
  <c r="Y533" i="1" s="1"/>
  <c r="K533" i="1"/>
  <c r="I533" i="1"/>
  <c r="Q532" i="1"/>
  <c r="K532" i="1"/>
  <c r="I532" i="1"/>
  <c r="Q531" i="1"/>
  <c r="S531" i="1" s="1"/>
  <c r="Y531" i="1" s="1"/>
  <c r="K531" i="1"/>
  <c r="I531" i="1"/>
  <c r="Q530" i="1"/>
  <c r="K530" i="1"/>
  <c r="I530" i="1"/>
  <c r="Q529" i="1"/>
  <c r="S529" i="1" s="1"/>
  <c r="Y529" i="1" s="1"/>
  <c r="K529" i="1"/>
  <c r="I529" i="1"/>
  <c r="Q528" i="1"/>
  <c r="K528" i="1"/>
  <c r="N528" i="1" s="1"/>
  <c r="I528" i="1"/>
  <c r="U527" i="1"/>
  <c r="Q527" i="1"/>
  <c r="R527" i="1" s="1"/>
  <c r="X527" i="1" s="1"/>
  <c r="K527" i="1"/>
  <c r="I527" i="1"/>
  <c r="Q526" i="1"/>
  <c r="S526" i="1" s="1"/>
  <c r="Y526" i="1" s="1"/>
  <c r="K526" i="1"/>
  <c r="I526" i="1"/>
  <c r="Q525" i="1"/>
  <c r="K525" i="1"/>
  <c r="I525" i="1"/>
  <c r="R524" i="1"/>
  <c r="U524" i="1" s="1"/>
  <c r="Q524" i="1"/>
  <c r="S524" i="1" s="1"/>
  <c r="Y524" i="1" s="1"/>
  <c r="K524" i="1"/>
  <c r="I524" i="1"/>
  <c r="Q523" i="1"/>
  <c r="S523" i="1" s="1"/>
  <c r="Y523" i="1" s="1"/>
  <c r="K523" i="1"/>
  <c r="I523" i="1"/>
  <c r="Q522" i="1"/>
  <c r="R522" i="1" s="1"/>
  <c r="X522" i="1" s="1"/>
  <c r="K522" i="1"/>
  <c r="I522" i="1"/>
  <c r="Q521" i="1"/>
  <c r="K521" i="1"/>
  <c r="I521" i="1"/>
  <c r="Q520" i="1"/>
  <c r="K520" i="1"/>
  <c r="I520" i="1"/>
  <c r="Q519" i="1"/>
  <c r="S519" i="1" s="1"/>
  <c r="Y519" i="1" s="1"/>
  <c r="K519" i="1"/>
  <c r="I519" i="1"/>
  <c r="Q518" i="1"/>
  <c r="K518" i="1"/>
  <c r="I518" i="1"/>
  <c r="R517" i="1"/>
  <c r="X517" i="1" s="1"/>
  <c r="Q517" i="1"/>
  <c r="S517" i="1" s="1"/>
  <c r="Y517" i="1" s="1"/>
  <c r="K517" i="1"/>
  <c r="I517" i="1"/>
  <c r="Q516" i="1"/>
  <c r="R516" i="1" s="1"/>
  <c r="K516" i="1"/>
  <c r="I516" i="1"/>
  <c r="Q515" i="1"/>
  <c r="K515" i="1"/>
  <c r="I515" i="1"/>
  <c r="Q514" i="1"/>
  <c r="K514" i="1"/>
  <c r="I514" i="1"/>
  <c r="Q513" i="1"/>
  <c r="K513" i="1"/>
  <c r="I513" i="1"/>
  <c r="Q512" i="1"/>
  <c r="K512" i="1"/>
  <c r="I512" i="1"/>
  <c r="Q511" i="1"/>
  <c r="K511" i="1"/>
  <c r="I511" i="1"/>
  <c r="Q510" i="1"/>
  <c r="R510" i="1" s="1"/>
  <c r="U510" i="1" s="1"/>
  <c r="K510" i="1"/>
  <c r="I510" i="1"/>
  <c r="Q509" i="1"/>
  <c r="S509" i="1" s="1"/>
  <c r="Y509" i="1" s="1"/>
  <c r="K509" i="1"/>
  <c r="I509" i="1"/>
  <c r="Q508" i="1"/>
  <c r="K508" i="1"/>
  <c r="I508" i="1"/>
  <c r="R507" i="1"/>
  <c r="Q507" i="1"/>
  <c r="S507" i="1" s="1"/>
  <c r="Y507" i="1" s="1"/>
  <c r="K507" i="1"/>
  <c r="I507" i="1"/>
  <c r="Q506" i="1"/>
  <c r="R506" i="1" s="1"/>
  <c r="U506" i="1" s="1"/>
  <c r="K506" i="1"/>
  <c r="I506" i="1"/>
  <c r="Q505" i="1"/>
  <c r="K505" i="1"/>
  <c r="I505" i="1"/>
  <c r="Q504" i="1"/>
  <c r="S504" i="1" s="1"/>
  <c r="Y504" i="1" s="1"/>
  <c r="K504" i="1"/>
  <c r="I504" i="1"/>
  <c r="Q503" i="1"/>
  <c r="S503" i="1" s="1"/>
  <c r="Y503" i="1" s="1"/>
  <c r="K503" i="1"/>
  <c r="I503" i="1"/>
  <c r="Q502" i="1"/>
  <c r="S502" i="1" s="1"/>
  <c r="Y502" i="1" s="1"/>
  <c r="K502" i="1"/>
  <c r="I502" i="1"/>
  <c r="S501" i="1"/>
  <c r="Y501" i="1" s="1"/>
  <c r="Q501" i="1"/>
  <c r="R501" i="1" s="1"/>
  <c r="U501" i="1" s="1"/>
  <c r="K501" i="1"/>
  <c r="I501" i="1"/>
  <c r="Q500" i="1"/>
  <c r="R500" i="1" s="1"/>
  <c r="X500" i="1" s="1"/>
  <c r="K500" i="1"/>
  <c r="I500" i="1"/>
  <c r="S499" i="1"/>
  <c r="Y499" i="1" s="1"/>
  <c r="R499" i="1"/>
  <c r="X499" i="1" s="1"/>
  <c r="Q499" i="1"/>
  <c r="K499" i="1"/>
  <c r="I499" i="1"/>
  <c r="Q498" i="1"/>
  <c r="R498" i="1" s="1"/>
  <c r="K498" i="1"/>
  <c r="I498" i="1"/>
  <c r="S497" i="1"/>
  <c r="Y497" i="1" s="1"/>
  <c r="Q497" i="1"/>
  <c r="R497" i="1" s="1"/>
  <c r="X497" i="1" s="1"/>
  <c r="K497" i="1"/>
  <c r="I497" i="1"/>
  <c r="Q496" i="1"/>
  <c r="K496" i="1"/>
  <c r="I496" i="1"/>
  <c r="Q495" i="1"/>
  <c r="S495" i="1" s="1"/>
  <c r="Y495" i="1" s="1"/>
  <c r="K495" i="1"/>
  <c r="I495" i="1"/>
  <c r="Q494" i="1"/>
  <c r="R494" i="1" s="1"/>
  <c r="X494" i="1" s="1"/>
  <c r="K494" i="1"/>
  <c r="I494" i="1"/>
  <c r="Q493" i="1"/>
  <c r="K493" i="1"/>
  <c r="I493" i="1"/>
  <c r="Q492" i="1"/>
  <c r="S492" i="1" s="1"/>
  <c r="Y492" i="1" s="1"/>
  <c r="K492" i="1"/>
  <c r="I492" i="1"/>
  <c r="Y491" i="1"/>
  <c r="R491" i="1"/>
  <c r="X491" i="1" s="1"/>
  <c r="Q491" i="1"/>
  <c r="S491" i="1" s="1"/>
  <c r="K491" i="1"/>
  <c r="I491" i="1"/>
  <c r="Q490" i="1"/>
  <c r="K490" i="1"/>
  <c r="I490" i="1"/>
  <c r="Q489" i="1"/>
  <c r="K489" i="1"/>
  <c r="I489" i="1"/>
  <c r="Q488" i="1"/>
  <c r="K488" i="1"/>
  <c r="I488" i="1"/>
  <c r="Q487" i="1"/>
  <c r="S487" i="1" s="1"/>
  <c r="Y487" i="1" s="1"/>
  <c r="K487" i="1"/>
  <c r="I487" i="1"/>
  <c r="Q486" i="1"/>
  <c r="S486" i="1" s="1"/>
  <c r="Y486" i="1" s="1"/>
  <c r="K486" i="1"/>
  <c r="I486" i="1"/>
  <c r="Q485" i="1"/>
  <c r="K485" i="1"/>
  <c r="I485" i="1"/>
  <c r="Q484" i="1"/>
  <c r="K484" i="1"/>
  <c r="I484" i="1"/>
  <c r="Q483" i="1"/>
  <c r="R483" i="1" s="1"/>
  <c r="K483" i="1"/>
  <c r="I483" i="1"/>
  <c r="Q482" i="1"/>
  <c r="S482" i="1" s="1"/>
  <c r="Y482" i="1" s="1"/>
  <c r="K482" i="1"/>
  <c r="I482" i="1"/>
  <c r="Q481" i="1"/>
  <c r="R481" i="1" s="1"/>
  <c r="X481" i="1" s="1"/>
  <c r="K481" i="1"/>
  <c r="I481" i="1"/>
  <c r="Q480" i="1"/>
  <c r="K480" i="1"/>
  <c r="I480" i="1"/>
  <c r="Q479" i="1"/>
  <c r="K479" i="1"/>
  <c r="I479" i="1"/>
  <c r="Q478" i="1"/>
  <c r="R478" i="1" s="1"/>
  <c r="U478" i="1" s="1"/>
  <c r="K478" i="1"/>
  <c r="I478" i="1"/>
  <c r="Q477" i="1"/>
  <c r="K477" i="1"/>
  <c r="I477" i="1"/>
  <c r="Q476" i="1"/>
  <c r="K476" i="1"/>
  <c r="I476" i="1"/>
  <c r="Q475" i="1"/>
  <c r="S475" i="1" s="1"/>
  <c r="Y475" i="1" s="1"/>
  <c r="K475" i="1"/>
  <c r="I475" i="1"/>
  <c r="Q474" i="1"/>
  <c r="R474" i="1" s="1"/>
  <c r="U474" i="1" s="1"/>
  <c r="K474" i="1"/>
  <c r="I474" i="1"/>
  <c r="Q473" i="1"/>
  <c r="S473" i="1" s="1"/>
  <c r="Y473" i="1" s="1"/>
  <c r="K473" i="1"/>
  <c r="I473" i="1"/>
  <c r="R472" i="1"/>
  <c r="Q472" i="1"/>
  <c r="S472" i="1" s="1"/>
  <c r="Y472" i="1" s="1"/>
  <c r="K472" i="1"/>
  <c r="I472" i="1"/>
  <c r="Q471" i="1"/>
  <c r="K471" i="1"/>
  <c r="N471" i="1" s="1"/>
  <c r="I471" i="1"/>
  <c r="Q470" i="1"/>
  <c r="K470" i="1"/>
  <c r="I470" i="1"/>
  <c r="Q469" i="1"/>
  <c r="R469" i="1" s="1"/>
  <c r="X469" i="1" s="1"/>
  <c r="K469" i="1"/>
  <c r="I469" i="1"/>
  <c r="Q468" i="1"/>
  <c r="R468" i="1" s="1"/>
  <c r="K468" i="1"/>
  <c r="I468" i="1"/>
  <c r="Q467" i="1"/>
  <c r="K467" i="1"/>
  <c r="I467" i="1"/>
  <c r="Q466" i="1"/>
  <c r="K466" i="1"/>
  <c r="I466" i="1"/>
  <c r="Q465" i="1"/>
  <c r="S465" i="1" s="1"/>
  <c r="Y465" i="1" s="1"/>
  <c r="K465" i="1"/>
  <c r="I465" i="1"/>
  <c r="Q464" i="1"/>
  <c r="K464" i="1"/>
  <c r="I464" i="1"/>
  <c r="Q463" i="1"/>
  <c r="R463" i="1" s="1"/>
  <c r="X463" i="1" s="1"/>
  <c r="K463" i="1"/>
  <c r="I463" i="1"/>
  <c r="S462" i="1"/>
  <c r="Y462" i="1" s="1"/>
  <c r="Q462" i="1"/>
  <c r="R462" i="1" s="1"/>
  <c r="K462" i="1"/>
  <c r="I462" i="1"/>
  <c r="Q461" i="1"/>
  <c r="S461" i="1" s="1"/>
  <c r="Y461" i="1" s="1"/>
  <c r="K461" i="1"/>
  <c r="I461" i="1"/>
  <c r="Q460" i="1"/>
  <c r="K460" i="1"/>
  <c r="I460" i="1"/>
  <c r="Q459" i="1"/>
  <c r="S459" i="1" s="1"/>
  <c r="Y459" i="1" s="1"/>
  <c r="N459" i="1"/>
  <c r="K459" i="1"/>
  <c r="I459" i="1"/>
  <c r="Q458" i="1"/>
  <c r="K458" i="1"/>
  <c r="N458" i="1" s="1"/>
  <c r="I458" i="1"/>
  <c r="Q457" i="1"/>
  <c r="S457" i="1" s="1"/>
  <c r="Y457" i="1" s="1"/>
  <c r="K457" i="1"/>
  <c r="N457" i="1" s="1"/>
  <c r="I457" i="1"/>
  <c r="S456" i="1"/>
  <c r="Y456" i="1" s="1"/>
  <c r="Q456" i="1"/>
  <c r="R456" i="1" s="1"/>
  <c r="K456" i="1"/>
  <c r="N456" i="1" s="1"/>
  <c r="I456" i="1"/>
  <c r="Q455" i="1"/>
  <c r="S455" i="1" s="1"/>
  <c r="Y455" i="1" s="1"/>
  <c r="K455" i="1"/>
  <c r="N455" i="1" s="1"/>
  <c r="I455" i="1"/>
  <c r="Q454" i="1"/>
  <c r="K454" i="1"/>
  <c r="N454" i="1" s="1"/>
  <c r="I454" i="1"/>
  <c r="Q453" i="1"/>
  <c r="S453" i="1" s="1"/>
  <c r="Y453" i="1" s="1"/>
  <c r="K453" i="1"/>
  <c r="N453" i="1" s="1"/>
  <c r="I453" i="1"/>
  <c r="Q452" i="1"/>
  <c r="R452" i="1" s="1"/>
  <c r="K452" i="1"/>
  <c r="N452" i="1" s="1"/>
  <c r="I452" i="1"/>
  <c r="Q451" i="1"/>
  <c r="S451" i="1" s="1"/>
  <c r="Y451" i="1" s="1"/>
  <c r="K451" i="1"/>
  <c r="N451" i="1" s="1"/>
  <c r="I451" i="1"/>
  <c r="Q450" i="1"/>
  <c r="S450" i="1" s="1"/>
  <c r="Y450" i="1" s="1"/>
  <c r="K450" i="1"/>
  <c r="N450" i="1" s="1"/>
  <c r="I450" i="1"/>
  <c r="Q449" i="1"/>
  <c r="S449" i="1" s="1"/>
  <c r="Y449" i="1" s="1"/>
  <c r="K449" i="1"/>
  <c r="N449" i="1" s="1"/>
  <c r="I449" i="1"/>
  <c r="Q448" i="1"/>
  <c r="R448" i="1" s="1"/>
  <c r="K448" i="1"/>
  <c r="N448" i="1" s="1"/>
  <c r="I448" i="1"/>
  <c r="Q447" i="1"/>
  <c r="K447" i="1"/>
  <c r="N447" i="1" s="1"/>
  <c r="I447" i="1"/>
  <c r="Q446" i="1"/>
  <c r="K446" i="1"/>
  <c r="N446" i="1" s="1"/>
  <c r="I446" i="1"/>
  <c r="Q445" i="1"/>
  <c r="K445" i="1"/>
  <c r="N445" i="1" s="1"/>
  <c r="I445" i="1"/>
  <c r="Q444" i="1"/>
  <c r="K444" i="1"/>
  <c r="N444" i="1" s="1"/>
  <c r="I444" i="1"/>
  <c r="Q443" i="1"/>
  <c r="S443" i="1" s="1"/>
  <c r="Y443" i="1" s="1"/>
  <c r="K443" i="1"/>
  <c r="N443" i="1" s="1"/>
  <c r="I443" i="1"/>
  <c r="Q442" i="1"/>
  <c r="S442" i="1" s="1"/>
  <c r="Y442" i="1" s="1"/>
  <c r="K442" i="1"/>
  <c r="N442" i="1" s="1"/>
  <c r="I442" i="1"/>
  <c r="Q441" i="1"/>
  <c r="R441" i="1" s="1"/>
  <c r="K441" i="1"/>
  <c r="N441" i="1" s="1"/>
  <c r="I441" i="1"/>
  <c r="Q440" i="1"/>
  <c r="S440" i="1" s="1"/>
  <c r="Y440" i="1" s="1"/>
  <c r="K440" i="1"/>
  <c r="N440" i="1" s="1"/>
  <c r="I440" i="1"/>
  <c r="Q439" i="1"/>
  <c r="S439" i="1" s="1"/>
  <c r="Y439" i="1" s="1"/>
  <c r="K439" i="1"/>
  <c r="N439" i="1" s="1"/>
  <c r="I439" i="1"/>
  <c r="Q438" i="1"/>
  <c r="R438" i="1" s="1"/>
  <c r="X438" i="1" s="1"/>
  <c r="K438" i="1"/>
  <c r="N438" i="1" s="1"/>
  <c r="I438" i="1"/>
  <c r="Q437" i="1"/>
  <c r="S437" i="1" s="1"/>
  <c r="Y437" i="1" s="1"/>
  <c r="K437" i="1"/>
  <c r="N437" i="1" s="1"/>
  <c r="I437" i="1"/>
  <c r="Q436" i="1"/>
  <c r="S436" i="1" s="1"/>
  <c r="Y436" i="1" s="1"/>
  <c r="K436" i="1"/>
  <c r="N436" i="1" s="1"/>
  <c r="I436" i="1"/>
  <c r="Q435" i="1"/>
  <c r="S435" i="1" s="1"/>
  <c r="Y435" i="1" s="1"/>
  <c r="K435" i="1"/>
  <c r="N435" i="1" s="1"/>
  <c r="I435" i="1"/>
  <c r="Q434" i="1"/>
  <c r="R434" i="1" s="1"/>
  <c r="X434" i="1" s="1"/>
  <c r="K434" i="1"/>
  <c r="N434" i="1" s="1"/>
  <c r="I434" i="1"/>
  <c r="Q433" i="1"/>
  <c r="K433" i="1"/>
  <c r="N433" i="1" s="1"/>
  <c r="I433" i="1"/>
  <c r="Q432" i="1"/>
  <c r="S432" i="1" s="1"/>
  <c r="Y432" i="1" s="1"/>
  <c r="K432" i="1"/>
  <c r="N432" i="1" s="1"/>
  <c r="I432" i="1"/>
  <c r="U431" i="1"/>
  <c r="Q431" i="1"/>
  <c r="R431" i="1" s="1"/>
  <c r="X431" i="1" s="1"/>
  <c r="O431" i="1" s="1"/>
  <c r="K431" i="1"/>
  <c r="N431" i="1" s="1"/>
  <c r="I431" i="1"/>
  <c r="Q430" i="1"/>
  <c r="S430" i="1" s="1"/>
  <c r="Y430" i="1" s="1"/>
  <c r="K430" i="1"/>
  <c r="N430" i="1" s="1"/>
  <c r="I430" i="1"/>
  <c r="Q429" i="1"/>
  <c r="K429" i="1"/>
  <c r="N429" i="1" s="1"/>
  <c r="I429" i="1"/>
  <c r="Q428" i="1"/>
  <c r="K428" i="1"/>
  <c r="N428" i="1" s="1"/>
  <c r="I428" i="1"/>
  <c r="S427" i="1"/>
  <c r="Y427" i="1" s="1"/>
  <c r="Q427" i="1"/>
  <c r="R427" i="1" s="1"/>
  <c r="K427" i="1"/>
  <c r="N427" i="1" s="1"/>
  <c r="I427" i="1"/>
  <c r="Q426" i="1"/>
  <c r="S426" i="1" s="1"/>
  <c r="Y426" i="1" s="1"/>
  <c r="K426" i="1"/>
  <c r="N426" i="1" s="1"/>
  <c r="I426" i="1"/>
  <c r="Q425" i="1"/>
  <c r="K425" i="1"/>
  <c r="N425" i="1" s="1"/>
  <c r="I425" i="1"/>
  <c r="Q424" i="1"/>
  <c r="R424" i="1" s="1"/>
  <c r="N424" i="1"/>
  <c r="K424" i="1"/>
  <c r="I424" i="1"/>
  <c r="Q423" i="1"/>
  <c r="K423" i="1"/>
  <c r="N423" i="1" s="1"/>
  <c r="I423" i="1"/>
  <c r="Q422" i="1"/>
  <c r="S422" i="1" s="1"/>
  <c r="Y422" i="1" s="1"/>
  <c r="K422" i="1"/>
  <c r="N422" i="1" s="1"/>
  <c r="I422" i="1"/>
  <c r="Q421" i="1"/>
  <c r="K421" i="1"/>
  <c r="N421" i="1" s="1"/>
  <c r="I421" i="1"/>
  <c r="S420" i="1"/>
  <c r="Y420" i="1" s="1"/>
  <c r="Q420" i="1"/>
  <c r="R420" i="1" s="1"/>
  <c r="K420" i="1"/>
  <c r="N420" i="1" s="1"/>
  <c r="I420" i="1"/>
  <c r="Q419" i="1"/>
  <c r="R419" i="1" s="1"/>
  <c r="X419" i="1" s="1"/>
  <c r="K419" i="1"/>
  <c r="N419" i="1" s="1"/>
  <c r="I419" i="1"/>
  <c r="Q418" i="1"/>
  <c r="K418" i="1"/>
  <c r="N418" i="1" s="1"/>
  <c r="I418" i="1"/>
  <c r="Q417" i="1"/>
  <c r="K417" i="1"/>
  <c r="N417" i="1" s="1"/>
  <c r="I417" i="1"/>
  <c r="Q416" i="1"/>
  <c r="S416" i="1" s="1"/>
  <c r="Y416" i="1" s="1"/>
  <c r="K416" i="1"/>
  <c r="N416" i="1" s="1"/>
  <c r="I416" i="1"/>
  <c r="Q415" i="1"/>
  <c r="K415" i="1"/>
  <c r="N415" i="1" s="1"/>
  <c r="I415" i="1"/>
  <c r="Q414" i="1"/>
  <c r="K414" i="1"/>
  <c r="N414" i="1" s="1"/>
  <c r="I414" i="1"/>
  <c r="Q413" i="1"/>
  <c r="S413" i="1" s="1"/>
  <c r="Y413" i="1" s="1"/>
  <c r="K413" i="1"/>
  <c r="N413" i="1" s="1"/>
  <c r="I413" i="1"/>
  <c r="Q412" i="1"/>
  <c r="K412" i="1"/>
  <c r="N412" i="1" s="1"/>
  <c r="I412" i="1"/>
  <c r="Q411" i="1"/>
  <c r="S411" i="1" s="1"/>
  <c r="Y411" i="1" s="1"/>
  <c r="K411" i="1"/>
  <c r="N411" i="1" s="1"/>
  <c r="I411" i="1"/>
  <c r="R410" i="1"/>
  <c r="Q410" i="1"/>
  <c r="S410" i="1" s="1"/>
  <c r="Y410" i="1" s="1"/>
  <c r="K410" i="1"/>
  <c r="N410" i="1" s="1"/>
  <c r="I410" i="1"/>
  <c r="Q409" i="1"/>
  <c r="K409" i="1"/>
  <c r="N409" i="1" s="1"/>
  <c r="I409" i="1"/>
  <c r="Q408" i="1"/>
  <c r="S408" i="1" s="1"/>
  <c r="Y408" i="1" s="1"/>
  <c r="K408" i="1"/>
  <c r="N408" i="1" s="1"/>
  <c r="I408" i="1"/>
  <c r="Q407" i="1"/>
  <c r="K407" i="1"/>
  <c r="N407" i="1" s="1"/>
  <c r="I407" i="1"/>
  <c r="Q406" i="1"/>
  <c r="R406" i="1" s="1"/>
  <c r="K406" i="1"/>
  <c r="N406" i="1" s="1"/>
  <c r="I406" i="1"/>
  <c r="Q405" i="1"/>
  <c r="K405" i="1"/>
  <c r="N405" i="1" s="1"/>
  <c r="I405" i="1"/>
  <c r="Q404" i="1"/>
  <c r="K404" i="1"/>
  <c r="N404" i="1" s="1"/>
  <c r="I404" i="1"/>
  <c r="Q403" i="1"/>
  <c r="K403" i="1"/>
  <c r="N403" i="1" s="1"/>
  <c r="I403" i="1"/>
  <c r="Q402" i="1"/>
  <c r="R402" i="1" s="1"/>
  <c r="U402" i="1" s="1"/>
  <c r="K402" i="1"/>
  <c r="N402" i="1" s="1"/>
  <c r="I402" i="1"/>
  <c r="Q401" i="1"/>
  <c r="K401" i="1"/>
  <c r="N401" i="1" s="1"/>
  <c r="I401" i="1"/>
  <c r="Q400" i="1"/>
  <c r="K400" i="1"/>
  <c r="N400" i="1" s="1"/>
  <c r="I400" i="1"/>
  <c r="Q399" i="1"/>
  <c r="S399" i="1" s="1"/>
  <c r="Y399" i="1" s="1"/>
  <c r="K399" i="1"/>
  <c r="N399" i="1" s="1"/>
  <c r="I399" i="1"/>
  <c r="Q398" i="1"/>
  <c r="S398" i="1" s="1"/>
  <c r="Y398" i="1" s="1"/>
  <c r="K398" i="1"/>
  <c r="N398" i="1" s="1"/>
  <c r="I398" i="1"/>
  <c r="Q397" i="1"/>
  <c r="K397" i="1"/>
  <c r="N397" i="1" s="1"/>
  <c r="I397" i="1"/>
  <c r="Q396" i="1"/>
  <c r="S396" i="1" s="1"/>
  <c r="Y396" i="1" s="1"/>
  <c r="K396" i="1"/>
  <c r="N396" i="1" s="1"/>
  <c r="I396" i="1"/>
  <c r="Q395" i="1"/>
  <c r="K395" i="1"/>
  <c r="N395" i="1" s="1"/>
  <c r="I395" i="1"/>
  <c r="Q394" i="1"/>
  <c r="K394" i="1"/>
  <c r="N394" i="1" s="1"/>
  <c r="I394" i="1"/>
  <c r="Q393" i="1"/>
  <c r="K393" i="1"/>
  <c r="N393" i="1" s="1"/>
  <c r="I393" i="1"/>
  <c r="Q392" i="1"/>
  <c r="K392" i="1"/>
  <c r="N392" i="1" s="1"/>
  <c r="I392" i="1"/>
  <c r="Q391" i="1"/>
  <c r="K391" i="1"/>
  <c r="N391" i="1" s="1"/>
  <c r="I391" i="1"/>
  <c r="Q390" i="1"/>
  <c r="K390" i="1"/>
  <c r="N390" i="1" s="1"/>
  <c r="I390" i="1"/>
  <c r="Q389" i="1"/>
  <c r="K389" i="1"/>
  <c r="N389" i="1" s="1"/>
  <c r="I389" i="1"/>
  <c r="Q388" i="1"/>
  <c r="K388" i="1"/>
  <c r="N388" i="1" s="1"/>
  <c r="I388" i="1"/>
  <c r="Q387" i="1"/>
  <c r="S387" i="1" s="1"/>
  <c r="Y387" i="1" s="1"/>
  <c r="K387" i="1"/>
  <c r="N387" i="1" s="1"/>
  <c r="I387" i="1"/>
  <c r="Q386" i="1"/>
  <c r="K386" i="1"/>
  <c r="N386" i="1" s="1"/>
  <c r="I386" i="1"/>
  <c r="Q385" i="1"/>
  <c r="K385" i="1"/>
  <c r="N385" i="1" s="1"/>
  <c r="I385" i="1"/>
  <c r="Q384" i="1"/>
  <c r="S384" i="1" s="1"/>
  <c r="Y384" i="1" s="1"/>
  <c r="K384" i="1"/>
  <c r="N384" i="1" s="1"/>
  <c r="I384" i="1"/>
  <c r="Q383" i="1"/>
  <c r="R383" i="1" s="1"/>
  <c r="U383" i="1" s="1"/>
  <c r="K383" i="1"/>
  <c r="N383" i="1" s="1"/>
  <c r="I383" i="1"/>
  <c r="Q382" i="1"/>
  <c r="R382" i="1" s="1"/>
  <c r="X382" i="1" s="1"/>
  <c r="K382" i="1"/>
  <c r="N382" i="1" s="1"/>
  <c r="I382" i="1"/>
  <c r="Q381" i="1"/>
  <c r="S381" i="1" s="1"/>
  <c r="Y381" i="1" s="1"/>
  <c r="K381" i="1"/>
  <c r="N381" i="1" s="1"/>
  <c r="I381" i="1"/>
  <c r="Q380" i="1"/>
  <c r="S380" i="1" s="1"/>
  <c r="Y380" i="1" s="1"/>
  <c r="K380" i="1"/>
  <c r="N380" i="1" s="1"/>
  <c r="I380" i="1"/>
  <c r="Q379" i="1"/>
  <c r="S379" i="1" s="1"/>
  <c r="Y379" i="1" s="1"/>
  <c r="K379" i="1"/>
  <c r="N379" i="1" s="1"/>
  <c r="I379" i="1"/>
  <c r="Q378" i="1"/>
  <c r="R378" i="1" s="1"/>
  <c r="K378" i="1"/>
  <c r="N378" i="1" s="1"/>
  <c r="I378" i="1"/>
  <c r="Q377" i="1"/>
  <c r="S377" i="1" s="1"/>
  <c r="Y377" i="1" s="1"/>
  <c r="K377" i="1"/>
  <c r="N377" i="1" s="1"/>
  <c r="I377" i="1"/>
  <c r="Q376" i="1"/>
  <c r="R376" i="1" s="1"/>
  <c r="X376" i="1" s="1"/>
  <c r="K376" i="1"/>
  <c r="N376" i="1" s="1"/>
  <c r="I376" i="1"/>
  <c r="Q375" i="1"/>
  <c r="R375" i="1" s="1"/>
  <c r="U375" i="1" s="1"/>
  <c r="K375" i="1"/>
  <c r="N375" i="1" s="1"/>
  <c r="I375" i="1"/>
  <c r="Q374" i="1"/>
  <c r="R374" i="1" s="1"/>
  <c r="K374" i="1"/>
  <c r="N374" i="1" s="1"/>
  <c r="I374" i="1"/>
  <c r="Q373" i="1"/>
  <c r="S373" i="1" s="1"/>
  <c r="Y373" i="1" s="1"/>
  <c r="K373" i="1"/>
  <c r="N373" i="1" s="1"/>
  <c r="I373" i="1"/>
  <c r="Q372" i="1"/>
  <c r="K372" i="1"/>
  <c r="N372" i="1" s="1"/>
  <c r="I372" i="1"/>
  <c r="Q371" i="1"/>
  <c r="K371" i="1"/>
  <c r="N371" i="1" s="1"/>
  <c r="I371" i="1"/>
  <c r="Q370" i="1"/>
  <c r="S370" i="1" s="1"/>
  <c r="Y370" i="1" s="1"/>
  <c r="K370" i="1"/>
  <c r="N370" i="1" s="1"/>
  <c r="I370" i="1"/>
  <c r="Q369" i="1"/>
  <c r="K369" i="1"/>
  <c r="N369" i="1" s="1"/>
  <c r="I369" i="1"/>
  <c r="Q368" i="1"/>
  <c r="R368" i="1" s="1"/>
  <c r="K368" i="1"/>
  <c r="N368" i="1" s="1"/>
  <c r="I368" i="1"/>
  <c r="Q367" i="1"/>
  <c r="R367" i="1" s="1"/>
  <c r="X367" i="1" s="1"/>
  <c r="O367" i="1" s="1"/>
  <c r="K367" i="1"/>
  <c r="N367" i="1" s="1"/>
  <c r="I367" i="1"/>
  <c r="Q366" i="1"/>
  <c r="S366" i="1" s="1"/>
  <c r="Y366" i="1" s="1"/>
  <c r="K366" i="1"/>
  <c r="N366" i="1" s="1"/>
  <c r="I366" i="1"/>
  <c r="Q365" i="1"/>
  <c r="S365" i="1" s="1"/>
  <c r="Y365" i="1" s="1"/>
  <c r="K365" i="1"/>
  <c r="N365" i="1" s="1"/>
  <c r="I365" i="1"/>
  <c r="Q364" i="1"/>
  <c r="K364" i="1"/>
  <c r="N364" i="1" s="1"/>
  <c r="I364" i="1"/>
  <c r="S363" i="1"/>
  <c r="Y363" i="1" s="1"/>
  <c r="Q363" i="1"/>
  <c r="R363" i="1" s="1"/>
  <c r="K363" i="1"/>
  <c r="N363" i="1" s="1"/>
  <c r="I363" i="1"/>
  <c r="Q362" i="1"/>
  <c r="K362" i="1"/>
  <c r="N362" i="1" s="1"/>
  <c r="I362" i="1"/>
  <c r="Q361" i="1"/>
  <c r="S361" i="1" s="1"/>
  <c r="Y361" i="1" s="1"/>
  <c r="K361" i="1"/>
  <c r="N361" i="1" s="1"/>
  <c r="I361" i="1"/>
  <c r="Q360" i="1"/>
  <c r="S360" i="1" s="1"/>
  <c r="Y360" i="1" s="1"/>
  <c r="K360" i="1"/>
  <c r="N360" i="1" s="1"/>
  <c r="I360" i="1"/>
  <c r="U359" i="1"/>
  <c r="Q359" i="1"/>
  <c r="R359" i="1" s="1"/>
  <c r="X359" i="1" s="1"/>
  <c r="O359" i="1" s="1"/>
  <c r="K359" i="1"/>
  <c r="N359" i="1" s="1"/>
  <c r="I359" i="1"/>
  <c r="Q358" i="1"/>
  <c r="S358" i="1" s="1"/>
  <c r="Y358" i="1" s="1"/>
  <c r="K358" i="1"/>
  <c r="N358" i="1" s="1"/>
  <c r="I358" i="1"/>
  <c r="Q357" i="1"/>
  <c r="K357" i="1"/>
  <c r="N357" i="1" s="1"/>
  <c r="I357" i="1"/>
  <c r="Q356" i="1"/>
  <c r="S356" i="1" s="1"/>
  <c r="Y356" i="1" s="1"/>
  <c r="K356" i="1"/>
  <c r="N356" i="1" s="1"/>
  <c r="I356" i="1"/>
  <c r="Q355" i="1"/>
  <c r="K355" i="1"/>
  <c r="N355" i="1" s="1"/>
  <c r="I355" i="1"/>
  <c r="Q354" i="1"/>
  <c r="N354" i="1"/>
  <c r="K354" i="1"/>
  <c r="I354" i="1"/>
  <c r="Q353" i="1"/>
  <c r="S353" i="1" s="1"/>
  <c r="Y353" i="1" s="1"/>
  <c r="K353" i="1"/>
  <c r="N353" i="1" s="1"/>
  <c r="I353" i="1"/>
  <c r="Q352" i="1"/>
  <c r="R352" i="1" s="1"/>
  <c r="X352" i="1" s="1"/>
  <c r="K352" i="1"/>
  <c r="N352" i="1" s="1"/>
  <c r="I352" i="1"/>
  <c r="Q351" i="1"/>
  <c r="S351" i="1" s="1"/>
  <c r="Y351" i="1" s="1"/>
  <c r="K351" i="1"/>
  <c r="N351" i="1" s="1"/>
  <c r="I351" i="1"/>
  <c r="S350" i="1"/>
  <c r="Y350" i="1" s="1"/>
  <c r="Q350" i="1"/>
  <c r="R350" i="1" s="1"/>
  <c r="X350" i="1" s="1"/>
  <c r="K350" i="1"/>
  <c r="N350" i="1" s="1"/>
  <c r="I350" i="1"/>
  <c r="Q349" i="1"/>
  <c r="K349" i="1"/>
  <c r="N349" i="1" s="1"/>
  <c r="I349" i="1"/>
  <c r="Q348" i="1"/>
  <c r="S348" i="1" s="1"/>
  <c r="Y348" i="1" s="1"/>
  <c r="K348" i="1"/>
  <c r="N348" i="1" s="1"/>
  <c r="I348" i="1"/>
  <c r="Q347" i="1"/>
  <c r="K347" i="1"/>
  <c r="N347" i="1" s="1"/>
  <c r="I347" i="1"/>
  <c r="Q346" i="1"/>
  <c r="S346" i="1" s="1"/>
  <c r="Y346" i="1" s="1"/>
  <c r="K346" i="1"/>
  <c r="N346" i="1" s="1"/>
  <c r="I346" i="1"/>
  <c r="Q345" i="1"/>
  <c r="K345" i="1"/>
  <c r="N345" i="1" s="1"/>
  <c r="I345" i="1"/>
  <c r="Q344" i="1"/>
  <c r="S344" i="1" s="1"/>
  <c r="Y344" i="1" s="1"/>
  <c r="K344" i="1"/>
  <c r="N344" i="1" s="1"/>
  <c r="I344" i="1"/>
  <c r="Q343" i="1"/>
  <c r="S343" i="1" s="1"/>
  <c r="Y343" i="1" s="1"/>
  <c r="K343" i="1"/>
  <c r="N343" i="1" s="1"/>
  <c r="I343" i="1"/>
  <c r="Q342" i="1"/>
  <c r="S342" i="1" s="1"/>
  <c r="Y342" i="1" s="1"/>
  <c r="K342" i="1"/>
  <c r="N342" i="1" s="1"/>
  <c r="I342" i="1"/>
  <c r="Q341" i="1"/>
  <c r="S341" i="1" s="1"/>
  <c r="Y341" i="1" s="1"/>
  <c r="K341" i="1"/>
  <c r="N341" i="1" s="1"/>
  <c r="I341" i="1"/>
  <c r="Q340" i="1"/>
  <c r="R340" i="1" s="1"/>
  <c r="X340" i="1" s="1"/>
  <c r="K340" i="1"/>
  <c r="N340" i="1" s="1"/>
  <c r="I340" i="1"/>
  <c r="R339" i="1"/>
  <c r="U339" i="1" s="1"/>
  <c r="Q339" i="1"/>
  <c r="S339" i="1" s="1"/>
  <c r="Y339" i="1" s="1"/>
  <c r="K339" i="1"/>
  <c r="N339" i="1" s="1"/>
  <c r="I339" i="1"/>
  <c r="Q338" i="1"/>
  <c r="S338" i="1" s="1"/>
  <c r="Y338" i="1" s="1"/>
  <c r="K338" i="1"/>
  <c r="N338" i="1" s="1"/>
  <c r="I338" i="1"/>
  <c r="Q337" i="1"/>
  <c r="K337" i="1"/>
  <c r="N337" i="1" s="1"/>
  <c r="I337" i="1"/>
  <c r="Q336" i="1"/>
  <c r="N336" i="1"/>
  <c r="K336" i="1"/>
  <c r="I336" i="1"/>
  <c r="Q335" i="1"/>
  <c r="K335" i="1"/>
  <c r="N335" i="1" s="1"/>
  <c r="I335" i="1"/>
  <c r="Q334" i="1"/>
  <c r="K334" i="1"/>
  <c r="N334" i="1" s="1"/>
  <c r="I334" i="1"/>
  <c r="Q333" i="1"/>
  <c r="K333" i="1"/>
  <c r="N333" i="1" s="1"/>
  <c r="I333" i="1"/>
  <c r="Q332" i="1"/>
  <c r="S332" i="1" s="1"/>
  <c r="Y332" i="1" s="1"/>
  <c r="K332" i="1"/>
  <c r="N332" i="1" s="1"/>
  <c r="I332" i="1"/>
  <c r="Q331" i="1"/>
  <c r="K331" i="1"/>
  <c r="N331" i="1" s="1"/>
  <c r="I331" i="1"/>
  <c r="Q330" i="1"/>
  <c r="S330" i="1" s="1"/>
  <c r="Y330" i="1" s="1"/>
  <c r="K330" i="1"/>
  <c r="N330" i="1" s="1"/>
  <c r="I330" i="1"/>
  <c r="Q329" i="1"/>
  <c r="S329" i="1" s="1"/>
  <c r="Y329" i="1" s="1"/>
  <c r="K329" i="1"/>
  <c r="N329" i="1" s="1"/>
  <c r="I329" i="1"/>
  <c r="Q328" i="1"/>
  <c r="R328" i="1" s="1"/>
  <c r="X328" i="1" s="1"/>
  <c r="K328" i="1"/>
  <c r="N328" i="1" s="1"/>
  <c r="I328" i="1"/>
  <c r="Q327" i="1"/>
  <c r="S327" i="1" s="1"/>
  <c r="Y327" i="1" s="1"/>
  <c r="K327" i="1"/>
  <c r="N327" i="1" s="1"/>
  <c r="I327" i="1"/>
  <c r="Q326" i="1"/>
  <c r="S326" i="1" s="1"/>
  <c r="Y326" i="1" s="1"/>
  <c r="K326" i="1"/>
  <c r="N326" i="1" s="1"/>
  <c r="I326" i="1"/>
  <c r="Q325" i="1"/>
  <c r="S325" i="1" s="1"/>
  <c r="Y325" i="1" s="1"/>
  <c r="K325" i="1"/>
  <c r="N325" i="1" s="1"/>
  <c r="I325" i="1"/>
  <c r="Q324" i="1"/>
  <c r="K324" i="1"/>
  <c r="N324" i="1" s="1"/>
  <c r="I324" i="1"/>
  <c r="X323" i="1"/>
  <c r="Q323" i="1"/>
  <c r="R323" i="1" s="1"/>
  <c r="U323" i="1" s="1"/>
  <c r="K323" i="1"/>
  <c r="N323" i="1" s="1"/>
  <c r="I323" i="1"/>
  <c r="Q322" i="1"/>
  <c r="S322" i="1" s="1"/>
  <c r="Y322" i="1" s="1"/>
  <c r="K322" i="1"/>
  <c r="N322" i="1" s="1"/>
  <c r="I322" i="1"/>
  <c r="Q321" i="1"/>
  <c r="K321" i="1"/>
  <c r="N321" i="1" s="1"/>
  <c r="I321" i="1"/>
  <c r="Q320" i="1"/>
  <c r="K320" i="1"/>
  <c r="N320" i="1" s="1"/>
  <c r="I320" i="1"/>
  <c r="Q319" i="1"/>
  <c r="R319" i="1" s="1"/>
  <c r="K319" i="1"/>
  <c r="N319" i="1" s="1"/>
  <c r="I319" i="1"/>
  <c r="Q318" i="1"/>
  <c r="K318" i="1"/>
  <c r="N318" i="1" s="1"/>
  <c r="I318" i="1"/>
  <c r="Q317" i="1"/>
  <c r="K317" i="1"/>
  <c r="N317" i="1" s="1"/>
  <c r="I317" i="1"/>
  <c r="Q316" i="1"/>
  <c r="K316" i="1"/>
  <c r="N316" i="1" s="1"/>
  <c r="I316" i="1"/>
  <c r="Q315" i="1"/>
  <c r="R315" i="1" s="1"/>
  <c r="K315" i="1"/>
  <c r="N315" i="1" s="1"/>
  <c r="I315" i="1"/>
  <c r="Q314" i="1"/>
  <c r="S314" i="1" s="1"/>
  <c r="Y314" i="1" s="1"/>
  <c r="K314" i="1"/>
  <c r="N314" i="1" s="1"/>
  <c r="I314" i="1"/>
  <c r="Q313" i="1"/>
  <c r="K313" i="1"/>
  <c r="N313" i="1" s="1"/>
  <c r="I313" i="1"/>
  <c r="Q312" i="1"/>
  <c r="K312" i="1"/>
  <c r="N312" i="1" s="1"/>
  <c r="I312" i="1"/>
  <c r="Q311" i="1"/>
  <c r="R311" i="1" s="1"/>
  <c r="U311" i="1" s="1"/>
  <c r="K311" i="1"/>
  <c r="N311" i="1" s="1"/>
  <c r="I311" i="1"/>
  <c r="Q310" i="1"/>
  <c r="S310" i="1" s="1"/>
  <c r="Y310" i="1" s="1"/>
  <c r="K310" i="1"/>
  <c r="N310" i="1" s="1"/>
  <c r="I310" i="1"/>
  <c r="Q309" i="1"/>
  <c r="K309" i="1"/>
  <c r="N309" i="1" s="1"/>
  <c r="I309" i="1"/>
  <c r="Q308" i="1"/>
  <c r="S308" i="1" s="1"/>
  <c r="Y308" i="1" s="1"/>
  <c r="K308" i="1"/>
  <c r="N308" i="1" s="1"/>
  <c r="I308" i="1"/>
  <c r="Q307" i="1"/>
  <c r="S307" i="1" s="1"/>
  <c r="Y307" i="1" s="1"/>
  <c r="K307" i="1"/>
  <c r="N307" i="1" s="1"/>
  <c r="I307" i="1"/>
  <c r="Q306" i="1"/>
  <c r="S306" i="1" s="1"/>
  <c r="Y306" i="1" s="1"/>
  <c r="K306" i="1"/>
  <c r="N306" i="1" s="1"/>
  <c r="I306" i="1"/>
  <c r="Q305" i="1"/>
  <c r="S305" i="1" s="1"/>
  <c r="Y305" i="1" s="1"/>
  <c r="K305" i="1"/>
  <c r="N305" i="1" s="1"/>
  <c r="I305" i="1"/>
  <c r="S304" i="1"/>
  <c r="Y304" i="1" s="1"/>
  <c r="Q304" i="1"/>
  <c r="R304" i="1" s="1"/>
  <c r="U304" i="1" s="1"/>
  <c r="K304" i="1"/>
  <c r="N304" i="1" s="1"/>
  <c r="I304" i="1"/>
  <c r="Q303" i="1"/>
  <c r="K303" i="1"/>
  <c r="N303" i="1" s="1"/>
  <c r="I303" i="1"/>
  <c r="Q302" i="1"/>
  <c r="S302" i="1" s="1"/>
  <c r="Y302" i="1" s="1"/>
  <c r="K302" i="1"/>
  <c r="N302" i="1" s="1"/>
  <c r="I302" i="1"/>
  <c r="Q301" i="1"/>
  <c r="K301" i="1"/>
  <c r="N301" i="1" s="1"/>
  <c r="I301" i="1"/>
  <c r="Q300" i="1"/>
  <c r="K300" i="1"/>
  <c r="N300" i="1" s="1"/>
  <c r="I300" i="1"/>
  <c r="Q299" i="1"/>
  <c r="K299" i="1"/>
  <c r="N299" i="1" s="1"/>
  <c r="I299" i="1"/>
  <c r="Q298" i="1"/>
  <c r="R298" i="1" s="1"/>
  <c r="K298" i="1"/>
  <c r="N298" i="1" s="1"/>
  <c r="I298" i="1"/>
  <c r="Q297" i="1"/>
  <c r="K297" i="1"/>
  <c r="N297" i="1" s="1"/>
  <c r="I297" i="1"/>
  <c r="Q296" i="1"/>
  <c r="K296" i="1"/>
  <c r="N296" i="1" s="1"/>
  <c r="I296" i="1"/>
  <c r="Q295" i="1"/>
  <c r="S295" i="1" s="1"/>
  <c r="Y295" i="1" s="1"/>
  <c r="K295" i="1"/>
  <c r="N295" i="1" s="1"/>
  <c r="I295" i="1"/>
  <c r="Q294" i="1"/>
  <c r="R294" i="1" s="1"/>
  <c r="U294" i="1" s="1"/>
  <c r="K294" i="1"/>
  <c r="N294" i="1" s="1"/>
  <c r="I294" i="1"/>
  <c r="Q293" i="1"/>
  <c r="S293" i="1" s="1"/>
  <c r="Y293" i="1" s="1"/>
  <c r="K293" i="1"/>
  <c r="N293" i="1" s="1"/>
  <c r="I293" i="1"/>
  <c r="Q292" i="1"/>
  <c r="R292" i="1" s="1"/>
  <c r="U292" i="1" s="1"/>
  <c r="K292" i="1"/>
  <c r="N292" i="1" s="1"/>
  <c r="I292" i="1"/>
  <c r="Q291" i="1"/>
  <c r="R291" i="1" s="1"/>
  <c r="K291" i="1"/>
  <c r="N291" i="1" s="1"/>
  <c r="I291" i="1"/>
  <c r="Q290" i="1"/>
  <c r="S290" i="1" s="1"/>
  <c r="Y290" i="1" s="1"/>
  <c r="K290" i="1"/>
  <c r="N290" i="1" s="1"/>
  <c r="I290" i="1"/>
  <c r="Q289" i="1"/>
  <c r="S289" i="1" s="1"/>
  <c r="Y289" i="1" s="1"/>
  <c r="K289" i="1"/>
  <c r="I289" i="1"/>
  <c r="Q288" i="1"/>
  <c r="R288" i="1" s="1"/>
  <c r="X288" i="1" s="1"/>
  <c r="K288" i="1"/>
  <c r="I288" i="1"/>
  <c r="Q287" i="1"/>
  <c r="K287" i="1"/>
  <c r="I287" i="1"/>
  <c r="Q286" i="1"/>
  <c r="R286" i="1" s="1"/>
  <c r="K286" i="1"/>
  <c r="I286" i="1"/>
  <c r="Q285" i="1"/>
  <c r="R285" i="1" s="1"/>
  <c r="X285" i="1" s="1"/>
  <c r="K285" i="1"/>
  <c r="I285" i="1"/>
  <c r="Q284" i="1"/>
  <c r="S284" i="1" s="1"/>
  <c r="Y284" i="1" s="1"/>
  <c r="K284" i="1"/>
  <c r="I284" i="1"/>
  <c r="Q283" i="1"/>
  <c r="K283" i="1"/>
  <c r="N283" i="1" s="1"/>
  <c r="I283" i="1"/>
  <c r="Q282" i="1"/>
  <c r="R282" i="1" s="1"/>
  <c r="U282" i="1" s="1"/>
  <c r="K282" i="1"/>
  <c r="I282" i="1"/>
  <c r="Q281" i="1"/>
  <c r="K281" i="1"/>
  <c r="I281" i="1"/>
  <c r="Q280" i="1"/>
  <c r="R280" i="1" s="1"/>
  <c r="X280" i="1" s="1"/>
  <c r="K280" i="1"/>
  <c r="I280" i="1"/>
  <c r="Q279" i="1"/>
  <c r="R279" i="1" s="1"/>
  <c r="K279" i="1"/>
  <c r="I279" i="1"/>
  <c r="R278" i="1"/>
  <c r="Q278" i="1"/>
  <c r="S278" i="1" s="1"/>
  <c r="Y278" i="1" s="1"/>
  <c r="K278" i="1"/>
  <c r="I278" i="1"/>
  <c r="Q277" i="1"/>
  <c r="K277" i="1"/>
  <c r="I277" i="1"/>
  <c r="Q276" i="1"/>
  <c r="S276" i="1" s="1"/>
  <c r="Y276" i="1" s="1"/>
  <c r="K276" i="1"/>
  <c r="I276" i="1"/>
  <c r="Q275" i="1"/>
  <c r="K275" i="1"/>
  <c r="I275" i="1"/>
  <c r="Q274" i="1"/>
  <c r="S274" i="1" s="1"/>
  <c r="Y274" i="1" s="1"/>
  <c r="K274" i="1"/>
  <c r="I274" i="1"/>
  <c r="Q273" i="1"/>
  <c r="S273" i="1" s="1"/>
  <c r="Y273" i="1" s="1"/>
  <c r="K273" i="1"/>
  <c r="I273" i="1"/>
  <c r="Q272" i="1"/>
  <c r="K272" i="1"/>
  <c r="I272" i="1"/>
  <c r="Q271" i="1"/>
  <c r="S271" i="1" s="1"/>
  <c r="Y271" i="1" s="1"/>
  <c r="K271" i="1"/>
  <c r="I271" i="1"/>
  <c r="Q270" i="1"/>
  <c r="R270" i="1" s="1"/>
  <c r="K270" i="1"/>
  <c r="I270" i="1"/>
  <c r="Q269" i="1"/>
  <c r="S269" i="1" s="1"/>
  <c r="Y269" i="1" s="1"/>
  <c r="K269" i="1"/>
  <c r="I269" i="1"/>
  <c r="Q268" i="1"/>
  <c r="K268" i="1"/>
  <c r="I268" i="1"/>
  <c r="S267" i="1"/>
  <c r="Y267" i="1" s="1"/>
  <c r="Q267" i="1"/>
  <c r="R267" i="1" s="1"/>
  <c r="K267" i="1"/>
  <c r="I267" i="1"/>
  <c r="Y266" i="1"/>
  <c r="Q266" i="1"/>
  <c r="S266" i="1" s="1"/>
  <c r="K266" i="1"/>
  <c r="I266" i="1"/>
  <c r="Q265" i="1"/>
  <c r="S265" i="1" s="1"/>
  <c r="Y265" i="1" s="1"/>
  <c r="K265" i="1"/>
  <c r="I265" i="1"/>
  <c r="R264" i="1"/>
  <c r="Q264" i="1"/>
  <c r="S264" i="1" s="1"/>
  <c r="Y264" i="1" s="1"/>
  <c r="K264" i="1"/>
  <c r="I264" i="1"/>
  <c r="Q263" i="1"/>
  <c r="S263" i="1" s="1"/>
  <c r="Y263" i="1" s="1"/>
  <c r="K263" i="1"/>
  <c r="I263" i="1"/>
  <c r="Q262" i="1"/>
  <c r="K262" i="1"/>
  <c r="I262" i="1"/>
  <c r="Q261" i="1"/>
  <c r="R261" i="1" s="1"/>
  <c r="K261" i="1"/>
  <c r="I261" i="1"/>
  <c r="Q260" i="1"/>
  <c r="S260" i="1" s="1"/>
  <c r="Y260" i="1" s="1"/>
  <c r="K260" i="1"/>
  <c r="I260" i="1"/>
  <c r="Q259" i="1"/>
  <c r="S259" i="1" s="1"/>
  <c r="Y259" i="1" s="1"/>
  <c r="K259" i="1"/>
  <c r="I259" i="1"/>
  <c r="Q258" i="1"/>
  <c r="S258" i="1" s="1"/>
  <c r="Y258" i="1" s="1"/>
  <c r="K258" i="1"/>
  <c r="I258" i="1"/>
  <c r="Q257" i="1"/>
  <c r="S257" i="1" s="1"/>
  <c r="Y257" i="1" s="1"/>
  <c r="K257" i="1"/>
  <c r="I257" i="1"/>
  <c r="Q256" i="1"/>
  <c r="K256" i="1"/>
  <c r="I256" i="1"/>
  <c r="S255" i="1"/>
  <c r="Y255" i="1" s="1"/>
  <c r="Q255" i="1"/>
  <c r="R255" i="1" s="1"/>
  <c r="K255" i="1"/>
  <c r="I255" i="1"/>
  <c r="Q254" i="1"/>
  <c r="R254" i="1" s="1"/>
  <c r="X254" i="1" s="1"/>
  <c r="K254" i="1"/>
  <c r="I254" i="1"/>
  <c r="Q253" i="1"/>
  <c r="K253" i="1"/>
  <c r="I253" i="1"/>
  <c r="Q252" i="1"/>
  <c r="K252" i="1"/>
  <c r="I252" i="1"/>
  <c r="Q251" i="1"/>
  <c r="K251" i="1"/>
  <c r="N251" i="1" s="1"/>
  <c r="I251" i="1"/>
  <c r="Q250" i="1"/>
  <c r="S250" i="1" s="1"/>
  <c r="Y250" i="1" s="1"/>
  <c r="K250" i="1"/>
  <c r="I250" i="1"/>
  <c r="Q249" i="1"/>
  <c r="S249" i="1" s="1"/>
  <c r="Y249" i="1" s="1"/>
  <c r="K249" i="1"/>
  <c r="I249" i="1"/>
  <c r="Q248" i="1"/>
  <c r="R248" i="1" s="1"/>
  <c r="X248" i="1" s="1"/>
  <c r="K248" i="1"/>
  <c r="I248" i="1"/>
  <c r="Q247" i="1"/>
  <c r="S247" i="1" s="1"/>
  <c r="Y247" i="1" s="1"/>
  <c r="K247" i="1"/>
  <c r="I247" i="1"/>
  <c r="Q246" i="1"/>
  <c r="R246" i="1" s="1"/>
  <c r="U246" i="1" s="1"/>
  <c r="K246" i="1"/>
  <c r="I246" i="1"/>
  <c r="Q245" i="1"/>
  <c r="S245" i="1" s="1"/>
  <c r="Y245" i="1" s="1"/>
  <c r="K245" i="1"/>
  <c r="I245" i="1"/>
  <c r="X244" i="1"/>
  <c r="Q244" i="1"/>
  <c r="R244" i="1" s="1"/>
  <c r="U244" i="1" s="1"/>
  <c r="K244" i="1"/>
  <c r="I244" i="1"/>
  <c r="Q243" i="1"/>
  <c r="S243" i="1" s="1"/>
  <c r="Y243" i="1" s="1"/>
  <c r="K243" i="1"/>
  <c r="I243" i="1"/>
  <c r="Q242" i="1"/>
  <c r="R242" i="1" s="1"/>
  <c r="U242" i="1" s="1"/>
  <c r="K242" i="1"/>
  <c r="I242" i="1"/>
  <c r="Q241" i="1"/>
  <c r="K241" i="1"/>
  <c r="I241" i="1"/>
  <c r="Q240" i="1"/>
  <c r="K240" i="1"/>
  <c r="I240" i="1"/>
  <c r="Q239" i="1"/>
  <c r="S239" i="1" s="1"/>
  <c r="Y239" i="1" s="1"/>
  <c r="K239" i="1"/>
  <c r="I239" i="1"/>
  <c r="Q238" i="1"/>
  <c r="K238" i="1"/>
  <c r="I238" i="1"/>
  <c r="Q237" i="1"/>
  <c r="K237" i="1"/>
  <c r="I237" i="1"/>
  <c r="Q236" i="1"/>
  <c r="S236" i="1" s="1"/>
  <c r="Y236" i="1" s="1"/>
  <c r="K236" i="1"/>
  <c r="I236" i="1"/>
  <c r="Q235" i="1"/>
  <c r="S235" i="1" s="1"/>
  <c r="Y235" i="1" s="1"/>
  <c r="K235" i="1"/>
  <c r="I235" i="1"/>
  <c r="Q234" i="1"/>
  <c r="R234" i="1" s="1"/>
  <c r="U234" i="1" s="1"/>
  <c r="K234" i="1"/>
  <c r="I234" i="1"/>
  <c r="Q233" i="1"/>
  <c r="S233" i="1" s="1"/>
  <c r="Y233" i="1" s="1"/>
  <c r="K233" i="1"/>
  <c r="I233" i="1"/>
  <c r="Q232" i="1"/>
  <c r="R232" i="1" s="1"/>
  <c r="K232" i="1"/>
  <c r="I232" i="1"/>
  <c r="Q231" i="1"/>
  <c r="S231" i="1" s="1"/>
  <c r="Y231" i="1" s="1"/>
  <c r="K231" i="1"/>
  <c r="I231" i="1"/>
  <c r="Q230" i="1"/>
  <c r="S230" i="1" s="1"/>
  <c r="Y230" i="1" s="1"/>
  <c r="K230" i="1"/>
  <c r="I230" i="1"/>
  <c r="Q229" i="1"/>
  <c r="S229" i="1" s="1"/>
  <c r="Y229" i="1" s="1"/>
  <c r="K229" i="1"/>
  <c r="I229" i="1"/>
  <c r="Q228" i="1"/>
  <c r="S228" i="1" s="1"/>
  <c r="Y228" i="1" s="1"/>
  <c r="K228" i="1"/>
  <c r="I228" i="1"/>
  <c r="Q227" i="1"/>
  <c r="S227" i="1" s="1"/>
  <c r="Y227" i="1" s="1"/>
  <c r="K227" i="1"/>
  <c r="I227" i="1"/>
  <c r="Q226" i="1"/>
  <c r="R226" i="1" s="1"/>
  <c r="U226" i="1" s="1"/>
  <c r="K226" i="1"/>
  <c r="I226" i="1"/>
  <c r="Q225" i="1"/>
  <c r="K225" i="1"/>
  <c r="I225" i="1"/>
  <c r="Q224" i="1"/>
  <c r="R224" i="1" s="1"/>
  <c r="K224" i="1"/>
  <c r="I224" i="1"/>
  <c r="R223" i="1"/>
  <c r="Q223" i="1"/>
  <c r="S223" i="1" s="1"/>
  <c r="Y223" i="1" s="1"/>
  <c r="K223" i="1"/>
  <c r="I223" i="1"/>
  <c r="Q222" i="1"/>
  <c r="S222" i="1" s="1"/>
  <c r="Y222" i="1" s="1"/>
  <c r="K222" i="1"/>
  <c r="I222" i="1"/>
  <c r="Q221" i="1"/>
  <c r="S221" i="1" s="1"/>
  <c r="Y221" i="1" s="1"/>
  <c r="K221" i="1"/>
  <c r="I221" i="1"/>
  <c r="Q220" i="1"/>
  <c r="K220" i="1"/>
  <c r="I220" i="1"/>
  <c r="Q219" i="1"/>
  <c r="S219" i="1" s="1"/>
  <c r="Y219" i="1" s="1"/>
  <c r="K219" i="1"/>
  <c r="I219" i="1"/>
  <c r="Q218" i="1"/>
  <c r="R218" i="1" s="1"/>
  <c r="X218" i="1" s="1"/>
  <c r="K218" i="1"/>
  <c r="I218" i="1"/>
  <c r="Q217" i="1"/>
  <c r="R217" i="1" s="1"/>
  <c r="K217" i="1"/>
  <c r="I217" i="1"/>
  <c r="Q216" i="1"/>
  <c r="K216" i="1"/>
  <c r="I216" i="1"/>
  <c r="Q215" i="1"/>
  <c r="K215" i="1"/>
  <c r="I215" i="1"/>
  <c r="Q214" i="1"/>
  <c r="S214" i="1" s="1"/>
  <c r="Y214" i="1" s="1"/>
  <c r="K214" i="1"/>
  <c r="I214" i="1"/>
  <c r="Q213" i="1"/>
  <c r="S213" i="1" s="1"/>
  <c r="Y213" i="1" s="1"/>
  <c r="K213" i="1"/>
  <c r="I213" i="1"/>
  <c r="Q212" i="1"/>
  <c r="K212" i="1"/>
  <c r="I212" i="1"/>
  <c r="Q211" i="1"/>
  <c r="R211" i="1" s="1"/>
  <c r="K211" i="1"/>
  <c r="I211" i="1"/>
  <c r="Q210" i="1"/>
  <c r="S210" i="1" s="1"/>
  <c r="Y210" i="1" s="1"/>
  <c r="K210" i="1"/>
  <c r="I210" i="1"/>
  <c r="Q209" i="1"/>
  <c r="S209" i="1" s="1"/>
  <c r="Y209" i="1" s="1"/>
  <c r="K209" i="1"/>
  <c r="I209" i="1"/>
  <c r="Q208" i="1"/>
  <c r="R208" i="1" s="1"/>
  <c r="U208" i="1" s="1"/>
  <c r="K208" i="1"/>
  <c r="I208" i="1"/>
  <c r="S207" i="1"/>
  <c r="Y207" i="1" s="1"/>
  <c r="Q207" i="1"/>
  <c r="R207" i="1" s="1"/>
  <c r="U207" i="1" s="1"/>
  <c r="K207" i="1"/>
  <c r="I207" i="1"/>
  <c r="Q206" i="1"/>
  <c r="R206" i="1" s="1"/>
  <c r="K206" i="1"/>
  <c r="I206" i="1"/>
  <c r="Q205" i="1"/>
  <c r="R205" i="1" s="1"/>
  <c r="X205" i="1" s="1"/>
  <c r="K205" i="1"/>
  <c r="I205" i="1"/>
  <c r="Q204" i="1"/>
  <c r="K204" i="1"/>
  <c r="I204" i="1"/>
  <c r="Q203" i="1"/>
  <c r="S203" i="1" s="1"/>
  <c r="Y203" i="1" s="1"/>
  <c r="K203" i="1"/>
  <c r="I203" i="1"/>
  <c r="Q202" i="1"/>
  <c r="R202" i="1" s="1"/>
  <c r="K202" i="1"/>
  <c r="I202" i="1"/>
  <c r="Q201" i="1"/>
  <c r="S201" i="1" s="1"/>
  <c r="Y201" i="1" s="1"/>
  <c r="K201" i="1"/>
  <c r="I201" i="1"/>
  <c r="Q200" i="1"/>
  <c r="S200" i="1" s="1"/>
  <c r="Y200" i="1" s="1"/>
  <c r="K200" i="1"/>
  <c r="I200" i="1"/>
  <c r="Q199" i="1"/>
  <c r="S199" i="1" s="1"/>
  <c r="Y199" i="1" s="1"/>
  <c r="K199" i="1"/>
  <c r="I199" i="1"/>
  <c r="Q198" i="1"/>
  <c r="R198" i="1" s="1"/>
  <c r="U198" i="1" s="1"/>
  <c r="K198" i="1"/>
  <c r="I198" i="1"/>
  <c r="Q197" i="1"/>
  <c r="S197" i="1" s="1"/>
  <c r="Y197" i="1" s="1"/>
  <c r="K197" i="1"/>
  <c r="I197" i="1"/>
  <c r="Q196" i="1"/>
  <c r="R196" i="1" s="1"/>
  <c r="K196" i="1"/>
  <c r="I196" i="1"/>
  <c r="Q195" i="1"/>
  <c r="S195" i="1" s="1"/>
  <c r="Y195" i="1" s="1"/>
  <c r="K195" i="1"/>
  <c r="I195" i="1"/>
  <c r="Q194" i="1"/>
  <c r="K194" i="1"/>
  <c r="I194" i="1"/>
  <c r="Q193" i="1"/>
  <c r="S193" i="1" s="1"/>
  <c r="Y193" i="1" s="1"/>
  <c r="K193" i="1"/>
  <c r="I193" i="1"/>
  <c r="R192" i="1"/>
  <c r="Q192" i="1"/>
  <c r="S192" i="1" s="1"/>
  <c r="Y192" i="1" s="1"/>
  <c r="K192" i="1"/>
  <c r="I192" i="1"/>
  <c r="Q191" i="1"/>
  <c r="K191" i="1"/>
  <c r="I191" i="1"/>
  <c r="Q190" i="1"/>
  <c r="K190" i="1"/>
  <c r="I190" i="1"/>
  <c r="Q189" i="1"/>
  <c r="S189" i="1" s="1"/>
  <c r="Y189" i="1" s="1"/>
  <c r="K189" i="1"/>
  <c r="I189" i="1"/>
  <c r="Q188" i="1"/>
  <c r="K188" i="1"/>
  <c r="I188" i="1"/>
  <c r="Q187" i="1"/>
  <c r="K187" i="1"/>
  <c r="I187" i="1"/>
  <c r="Q186" i="1"/>
  <c r="S186" i="1" s="1"/>
  <c r="Y186" i="1" s="1"/>
  <c r="K186" i="1"/>
  <c r="N186" i="1" s="1"/>
  <c r="I186" i="1"/>
  <c r="Q185" i="1"/>
  <c r="S185" i="1" s="1"/>
  <c r="Y185" i="1" s="1"/>
  <c r="K185" i="1"/>
  <c r="I185" i="1"/>
  <c r="Q184" i="1"/>
  <c r="K184" i="1"/>
  <c r="I184" i="1"/>
  <c r="Q183" i="1"/>
  <c r="S183" i="1" s="1"/>
  <c r="Y183" i="1" s="1"/>
  <c r="K183" i="1"/>
  <c r="I183" i="1"/>
  <c r="Q182" i="1"/>
  <c r="S182" i="1" s="1"/>
  <c r="Y182" i="1" s="1"/>
  <c r="K182" i="1"/>
  <c r="I182" i="1"/>
  <c r="Q181" i="1"/>
  <c r="K181" i="1"/>
  <c r="I181" i="1"/>
  <c r="Q180" i="1"/>
  <c r="S180" i="1" s="1"/>
  <c r="Y180" i="1" s="1"/>
  <c r="K180" i="1"/>
  <c r="I180" i="1"/>
  <c r="Q179" i="1"/>
  <c r="K179" i="1"/>
  <c r="I179" i="1"/>
  <c r="Q178" i="1"/>
  <c r="S178" i="1" s="1"/>
  <c r="Y178" i="1" s="1"/>
  <c r="K178" i="1"/>
  <c r="I178" i="1"/>
  <c r="Q177" i="1"/>
  <c r="S177" i="1" s="1"/>
  <c r="Y177" i="1" s="1"/>
  <c r="K177" i="1"/>
  <c r="I177" i="1"/>
  <c r="Q176" i="1"/>
  <c r="S176" i="1" s="1"/>
  <c r="Y176" i="1" s="1"/>
  <c r="K176" i="1"/>
  <c r="I176" i="1"/>
  <c r="Q175" i="1"/>
  <c r="S175" i="1" s="1"/>
  <c r="Y175" i="1" s="1"/>
  <c r="K175" i="1"/>
  <c r="I175" i="1"/>
  <c r="Q174" i="1"/>
  <c r="S174" i="1" s="1"/>
  <c r="Y174" i="1" s="1"/>
  <c r="K174" i="1"/>
  <c r="I174" i="1"/>
  <c r="Q173" i="1"/>
  <c r="K173" i="1"/>
  <c r="I173" i="1"/>
  <c r="X172" i="1"/>
  <c r="Q172" i="1"/>
  <c r="R172" i="1" s="1"/>
  <c r="U172" i="1" s="1"/>
  <c r="K172" i="1"/>
  <c r="I172" i="1"/>
  <c r="R171" i="1"/>
  <c r="Q171" i="1"/>
  <c r="S171" i="1" s="1"/>
  <c r="Y171" i="1" s="1"/>
  <c r="K171" i="1"/>
  <c r="I171" i="1"/>
  <c r="S170" i="1"/>
  <c r="Y170" i="1" s="1"/>
  <c r="Z170" i="1" s="1"/>
  <c r="R170" i="1"/>
  <c r="X170" i="1" s="1"/>
  <c r="Q170" i="1"/>
  <c r="K170" i="1"/>
  <c r="I170" i="1"/>
  <c r="Q169" i="1"/>
  <c r="K169" i="1"/>
  <c r="I169" i="1"/>
  <c r="Q168" i="1"/>
  <c r="S168" i="1" s="1"/>
  <c r="Y168" i="1" s="1"/>
  <c r="K168" i="1"/>
  <c r="I168" i="1"/>
  <c r="X167" i="1"/>
  <c r="S167" i="1"/>
  <c r="Y167" i="1" s="1"/>
  <c r="Q167" i="1"/>
  <c r="R167" i="1" s="1"/>
  <c r="U167" i="1" s="1"/>
  <c r="K167" i="1"/>
  <c r="I167" i="1"/>
  <c r="Q166" i="1"/>
  <c r="R166" i="1" s="1"/>
  <c r="X166" i="1" s="1"/>
  <c r="K166" i="1"/>
  <c r="I166" i="1"/>
  <c r="Q165" i="1"/>
  <c r="S165" i="1" s="1"/>
  <c r="Y165" i="1" s="1"/>
  <c r="K165" i="1"/>
  <c r="N165" i="1" s="1"/>
  <c r="I165" i="1"/>
  <c r="Q164" i="1"/>
  <c r="S164" i="1" s="1"/>
  <c r="Y164" i="1" s="1"/>
  <c r="K164" i="1"/>
  <c r="N164" i="1" s="1"/>
  <c r="I164" i="1"/>
  <c r="R163" i="1"/>
  <c r="X163" i="1" s="1"/>
  <c r="Q163" i="1"/>
  <c r="S163" i="1" s="1"/>
  <c r="Y163" i="1" s="1"/>
  <c r="K163" i="1"/>
  <c r="I163" i="1"/>
  <c r="Q162" i="1"/>
  <c r="R162" i="1" s="1"/>
  <c r="K162" i="1"/>
  <c r="I162" i="1"/>
  <c r="Q161" i="1"/>
  <c r="K161" i="1"/>
  <c r="I161" i="1"/>
  <c r="Q160" i="1"/>
  <c r="R160" i="1" s="1"/>
  <c r="X160" i="1" s="1"/>
  <c r="K160" i="1"/>
  <c r="I160" i="1"/>
  <c r="S159" i="1"/>
  <c r="Y159" i="1" s="1"/>
  <c r="Q159" i="1"/>
  <c r="R159" i="1" s="1"/>
  <c r="K159" i="1"/>
  <c r="I159" i="1"/>
  <c r="Q158" i="1"/>
  <c r="K158" i="1"/>
  <c r="I158" i="1"/>
  <c r="Q157" i="1"/>
  <c r="S157" i="1" s="1"/>
  <c r="Y157" i="1" s="1"/>
  <c r="K157" i="1"/>
  <c r="I157" i="1"/>
  <c r="Q156" i="1"/>
  <c r="R156" i="1" s="1"/>
  <c r="K156" i="1"/>
  <c r="I156" i="1"/>
  <c r="Q155" i="1"/>
  <c r="R155" i="1" s="1"/>
  <c r="K155" i="1"/>
  <c r="I155" i="1"/>
  <c r="Q154" i="1"/>
  <c r="K154" i="1"/>
  <c r="I154" i="1"/>
  <c r="Q153" i="1"/>
  <c r="K153" i="1"/>
  <c r="I153" i="1"/>
  <c r="Q152" i="1"/>
  <c r="R152" i="1" s="1"/>
  <c r="K152" i="1"/>
  <c r="N152" i="1" s="1"/>
  <c r="I152" i="1"/>
  <c r="Q151" i="1"/>
  <c r="K151" i="1"/>
  <c r="I151" i="1"/>
  <c r="Q150" i="1"/>
  <c r="S150" i="1" s="1"/>
  <c r="Y150" i="1" s="1"/>
  <c r="K150" i="1"/>
  <c r="I150" i="1"/>
  <c r="Q149" i="1"/>
  <c r="S149" i="1" s="1"/>
  <c r="Y149" i="1" s="1"/>
  <c r="K149" i="1"/>
  <c r="I149" i="1"/>
  <c r="Q148" i="1"/>
  <c r="R148" i="1" s="1"/>
  <c r="X148" i="1" s="1"/>
  <c r="K148" i="1"/>
  <c r="I148" i="1"/>
  <c r="Q147" i="1"/>
  <c r="R147" i="1" s="1"/>
  <c r="U147" i="1" s="1"/>
  <c r="K147" i="1"/>
  <c r="N147" i="1" s="1"/>
  <c r="I147" i="1"/>
  <c r="Q146" i="1"/>
  <c r="R146" i="1" s="1"/>
  <c r="K146" i="1"/>
  <c r="I146" i="1"/>
  <c r="Q145" i="1"/>
  <c r="S145" i="1" s="1"/>
  <c r="Y145" i="1" s="1"/>
  <c r="K145" i="1"/>
  <c r="I145" i="1"/>
  <c r="Q144" i="1"/>
  <c r="R144" i="1" s="1"/>
  <c r="K144" i="1"/>
  <c r="I144" i="1"/>
  <c r="Q143" i="1"/>
  <c r="S143" i="1" s="1"/>
  <c r="Y143" i="1" s="1"/>
  <c r="K143" i="1"/>
  <c r="I143" i="1"/>
  <c r="Q142" i="1"/>
  <c r="S142" i="1" s="1"/>
  <c r="Y142" i="1" s="1"/>
  <c r="K142" i="1"/>
  <c r="I142" i="1"/>
  <c r="Q141" i="1"/>
  <c r="K141" i="1"/>
  <c r="I141" i="1"/>
  <c r="Q140" i="1"/>
  <c r="S140" i="1" s="1"/>
  <c r="Y140" i="1" s="1"/>
  <c r="K140" i="1"/>
  <c r="N140" i="1" s="1"/>
  <c r="I140" i="1"/>
  <c r="Q139" i="1"/>
  <c r="S139" i="1" s="1"/>
  <c r="Y139" i="1" s="1"/>
  <c r="K139" i="1"/>
  <c r="I139" i="1"/>
  <c r="Q138" i="1"/>
  <c r="S138" i="1" s="1"/>
  <c r="Y138" i="1" s="1"/>
  <c r="K138" i="1"/>
  <c r="I138" i="1"/>
  <c r="Q137" i="1"/>
  <c r="R137" i="1" s="1"/>
  <c r="K137" i="1"/>
  <c r="I137" i="1"/>
  <c r="S136" i="1"/>
  <c r="Y136" i="1" s="1"/>
  <c r="Q136" i="1"/>
  <c r="R136" i="1" s="1"/>
  <c r="X136" i="1" s="1"/>
  <c r="K136" i="1"/>
  <c r="I136" i="1"/>
  <c r="Q135" i="1"/>
  <c r="S135" i="1" s="1"/>
  <c r="Y135" i="1" s="1"/>
  <c r="K135" i="1"/>
  <c r="N135" i="1" s="1"/>
  <c r="I135" i="1"/>
  <c r="Q134" i="1"/>
  <c r="S134" i="1" s="1"/>
  <c r="Y134" i="1" s="1"/>
  <c r="K134" i="1"/>
  <c r="I134" i="1"/>
  <c r="Q133" i="1"/>
  <c r="S133" i="1" s="1"/>
  <c r="Y133" i="1" s="1"/>
  <c r="K133" i="1"/>
  <c r="I133" i="1"/>
  <c r="Q132" i="1"/>
  <c r="K132" i="1"/>
  <c r="N132" i="1" s="1"/>
  <c r="I132" i="1"/>
  <c r="Q131" i="1"/>
  <c r="K131" i="1"/>
  <c r="I131" i="1"/>
  <c r="Q130" i="1"/>
  <c r="S130" i="1" s="1"/>
  <c r="Y130" i="1" s="1"/>
  <c r="K130" i="1"/>
  <c r="I130" i="1"/>
  <c r="Q129" i="1"/>
  <c r="K129" i="1"/>
  <c r="N129" i="1" s="1"/>
  <c r="I129" i="1"/>
  <c r="Q128" i="1"/>
  <c r="S128" i="1" s="1"/>
  <c r="Y128" i="1" s="1"/>
  <c r="K128" i="1"/>
  <c r="N128" i="1" s="1"/>
  <c r="I128" i="1"/>
  <c r="Q127" i="1"/>
  <c r="S127" i="1" s="1"/>
  <c r="Y127" i="1" s="1"/>
  <c r="K127" i="1"/>
  <c r="I127" i="1"/>
  <c r="Q126" i="1"/>
  <c r="R126" i="1" s="1"/>
  <c r="K126" i="1"/>
  <c r="I126" i="1"/>
  <c r="Q125" i="1"/>
  <c r="S125" i="1" s="1"/>
  <c r="Y125" i="1" s="1"/>
  <c r="K125" i="1"/>
  <c r="I125" i="1"/>
  <c r="Q124" i="1"/>
  <c r="S124" i="1" s="1"/>
  <c r="Y124" i="1" s="1"/>
  <c r="K124" i="1"/>
  <c r="I124" i="1"/>
  <c r="Q123" i="1"/>
  <c r="S123" i="1" s="1"/>
  <c r="Y123" i="1" s="1"/>
  <c r="K123" i="1"/>
  <c r="I123" i="1"/>
  <c r="Q122" i="1"/>
  <c r="K122" i="1"/>
  <c r="N122" i="1" s="1"/>
  <c r="I122" i="1"/>
  <c r="S121" i="1"/>
  <c r="Y121" i="1" s="1"/>
  <c r="R121" i="1"/>
  <c r="X121" i="1" s="1"/>
  <c r="Q121" i="1"/>
  <c r="K121" i="1"/>
  <c r="I121" i="1"/>
  <c r="R120" i="1"/>
  <c r="X120" i="1" s="1"/>
  <c r="Q120" i="1"/>
  <c r="S120" i="1" s="1"/>
  <c r="Y120" i="1" s="1"/>
  <c r="K120" i="1"/>
  <c r="N120" i="1" s="1"/>
  <c r="I120" i="1"/>
  <c r="Q119" i="1"/>
  <c r="S119" i="1" s="1"/>
  <c r="Y119" i="1" s="1"/>
  <c r="K119" i="1"/>
  <c r="I119" i="1"/>
  <c r="R118" i="1"/>
  <c r="Q118" i="1"/>
  <c r="S118" i="1" s="1"/>
  <c r="Y118" i="1" s="1"/>
  <c r="K118" i="1"/>
  <c r="I118" i="1"/>
  <c r="Q117" i="1"/>
  <c r="K117" i="1"/>
  <c r="I117" i="1"/>
  <c r="Q116" i="1"/>
  <c r="S116" i="1" s="1"/>
  <c r="Y116" i="1" s="1"/>
  <c r="K116" i="1"/>
  <c r="I116" i="1"/>
  <c r="Q115" i="1"/>
  <c r="S115" i="1" s="1"/>
  <c r="Y115" i="1" s="1"/>
  <c r="K115" i="1"/>
  <c r="I115" i="1"/>
  <c r="Q114" i="1"/>
  <c r="K114" i="1"/>
  <c r="I114" i="1"/>
  <c r="Q113" i="1"/>
  <c r="R113" i="1" s="1"/>
  <c r="U113" i="1" s="1"/>
  <c r="K113" i="1"/>
  <c r="I113" i="1"/>
  <c r="Q112" i="1"/>
  <c r="R112" i="1" s="1"/>
  <c r="X112" i="1" s="1"/>
  <c r="K112" i="1"/>
  <c r="I112" i="1"/>
  <c r="Q111" i="1"/>
  <c r="R111" i="1" s="1"/>
  <c r="K111" i="1"/>
  <c r="I111" i="1"/>
  <c r="Q110" i="1"/>
  <c r="S110" i="1" s="1"/>
  <c r="Y110" i="1" s="1"/>
  <c r="K110" i="1"/>
  <c r="I110" i="1"/>
  <c r="Q109" i="1"/>
  <c r="R109" i="1" s="1"/>
  <c r="K109" i="1"/>
  <c r="N109" i="1" s="1"/>
  <c r="I109" i="1"/>
  <c r="Q108" i="1"/>
  <c r="R108" i="1" s="1"/>
  <c r="K108" i="1"/>
  <c r="N108" i="1" s="1"/>
  <c r="I108" i="1"/>
  <c r="R107" i="1"/>
  <c r="Q107" i="1"/>
  <c r="S107" i="1" s="1"/>
  <c r="Y107" i="1" s="1"/>
  <c r="K107" i="1"/>
  <c r="N107" i="1" s="1"/>
  <c r="I107" i="1"/>
  <c r="Q106" i="1"/>
  <c r="S106" i="1" s="1"/>
  <c r="Y106" i="1" s="1"/>
  <c r="K106" i="1"/>
  <c r="I106" i="1"/>
  <c r="Q105" i="1"/>
  <c r="K105" i="1"/>
  <c r="I105" i="1"/>
  <c r="Q104" i="1"/>
  <c r="S104" i="1" s="1"/>
  <c r="Y104" i="1" s="1"/>
  <c r="K104" i="1"/>
  <c r="I104" i="1"/>
  <c r="Q103" i="1"/>
  <c r="R103" i="1" s="1"/>
  <c r="K103" i="1"/>
  <c r="N103" i="1" s="1"/>
  <c r="I103" i="1"/>
  <c r="S102" i="1"/>
  <c r="Y102" i="1" s="1"/>
  <c r="Z102" i="1" s="1"/>
  <c r="R102" i="1"/>
  <c r="X102" i="1" s="1"/>
  <c r="Q102" i="1"/>
  <c r="K102" i="1"/>
  <c r="I102" i="1"/>
  <c r="Q101" i="1"/>
  <c r="S101" i="1" s="1"/>
  <c r="Y101" i="1" s="1"/>
  <c r="K101" i="1"/>
  <c r="I101" i="1"/>
  <c r="Q100" i="1"/>
  <c r="S100" i="1" s="1"/>
  <c r="Y100" i="1" s="1"/>
  <c r="K100" i="1"/>
  <c r="I100" i="1"/>
  <c r="Q99" i="1"/>
  <c r="K99" i="1"/>
  <c r="I99" i="1"/>
  <c r="R98" i="1"/>
  <c r="Q98" i="1"/>
  <c r="S98" i="1" s="1"/>
  <c r="Y98" i="1" s="1"/>
  <c r="K98" i="1"/>
  <c r="I98" i="1"/>
  <c r="Q97" i="1"/>
  <c r="R97" i="1" s="1"/>
  <c r="X97" i="1" s="1"/>
  <c r="K97" i="1"/>
  <c r="N97" i="1" s="1"/>
  <c r="I97" i="1"/>
  <c r="Q96" i="1"/>
  <c r="K96" i="1"/>
  <c r="I96" i="1"/>
  <c r="Q95" i="1"/>
  <c r="S95" i="1" s="1"/>
  <c r="Y95" i="1" s="1"/>
  <c r="K95" i="1"/>
  <c r="N95" i="1" s="1"/>
  <c r="I95" i="1"/>
  <c r="Q94" i="1"/>
  <c r="S94" i="1" s="1"/>
  <c r="Y94" i="1" s="1"/>
  <c r="K94" i="1"/>
  <c r="N94" i="1" s="1"/>
  <c r="I94" i="1"/>
  <c r="Q93" i="1"/>
  <c r="K93" i="1"/>
  <c r="I93" i="1"/>
  <c r="Q92" i="1"/>
  <c r="S92" i="1" s="1"/>
  <c r="Y92" i="1" s="1"/>
  <c r="K92" i="1"/>
  <c r="I92" i="1"/>
  <c r="S91" i="1"/>
  <c r="Y91" i="1" s="1"/>
  <c r="Q91" i="1"/>
  <c r="R91" i="1" s="1"/>
  <c r="K91" i="1"/>
  <c r="N91" i="1" s="1"/>
  <c r="I91" i="1"/>
  <c r="S90" i="1"/>
  <c r="Y90" i="1" s="1"/>
  <c r="Q90" i="1"/>
  <c r="R90" i="1" s="1"/>
  <c r="K90" i="1"/>
  <c r="I90" i="1"/>
  <c r="Q89" i="1"/>
  <c r="S89" i="1" s="1"/>
  <c r="Y89" i="1" s="1"/>
  <c r="K89" i="1"/>
  <c r="I89" i="1"/>
  <c r="Q88" i="1"/>
  <c r="S88" i="1" s="1"/>
  <c r="Y88" i="1" s="1"/>
  <c r="K88" i="1"/>
  <c r="I88" i="1"/>
  <c r="Q87" i="1"/>
  <c r="S87" i="1" s="1"/>
  <c r="Y87" i="1" s="1"/>
  <c r="K87" i="1"/>
  <c r="I87" i="1"/>
  <c r="Q86" i="1"/>
  <c r="K86" i="1"/>
  <c r="I86" i="1"/>
  <c r="S85" i="1"/>
  <c r="Y85" i="1" s="1"/>
  <c r="Q85" i="1"/>
  <c r="R85" i="1" s="1"/>
  <c r="U85" i="1" s="1"/>
  <c r="K85" i="1"/>
  <c r="I85" i="1"/>
  <c r="Q84" i="1"/>
  <c r="R84" i="1" s="1"/>
  <c r="X84" i="1" s="1"/>
  <c r="K84" i="1"/>
  <c r="N84" i="1" s="1"/>
  <c r="I84" i="1"/>
  <c r="Q83" i="1"/>
  <c r="K83" i="1"/>
  <c r="I83" i="1"/>
  <c r="Q82" i="1"/>
  <c r="S82" i="1" s="1"/>
  <c r="Y82" i="1" s="1"/>
  <c r="K82" i="1"/>
  <c r="I82" i="1"/>
  <c r="Q81" i="1"/>
  <c r="K81" i="1"/>
  <c r="N81" i="1" s="1"/>
  <c r="I81" i="1"/>
  <c r="Q80" i="1"/>
  <c r="S80" i="1" s="1"/>
  <c r="Y80" i="1" s="1"/>
  <c r="K80" i="1"/>
  <c r="N80" i="1" s="1"/>
  <c r="I80" i="1"/>
  <c r="Q79" i="1"/>
  <c r="R79" i="1" s="1"/>
  <c r="K79" i="1"/>
  <c r="I79" i="1"/>
  <c r="Q78" i="1"/>
  <c r="R78" i="1" s="1"/>
  <c r="K78" i="1"/>
  <c r="I78" i="1"/>
  <c r="Q77" i="1"/>
  <c r="S77" i="1" s="1"/>
  <c r="Y77" i="1" s="1"/>
  <c r="K77" i="1"/>
  <c r="I77" i="1"/>
  <c r="Q76" i="1"/>
  <c r="S76" i="1" s="1"/>
  <c r="Y76" i="1" s="1"/>
  <c r="K76" i="1"/>
  <c r="I76" i="1"/>
  <c r="Q75" i="1"/>
  <c r="R75" i="1" s="1"/>
  <c r="X75" i="1" s="1"/>
  <c r="K75" i="1"/>
  <c r="I75" i="1"/>
  <c r="Q74" i="1"/>
  <c r="S74" i="1" s="1"/>
  <c r="Y74" i="1" s="1"/>
  <c r="K74" i="1"/>
  <c r="I74" i="1"/>
  <c r="Q73" i="1"/>
  <c r="K73" i="1"/>
  <c r="N73" i="1" s="1"/>
  <c r="I73" i="1"/>
  <c r="Q72" i="1"/>
  <c r="K72" i="1"/>
  <c r="I72" i="1"/>
  <c r="Q71" i="1"/>
  <c r="R71" i="1" s="1"/>
  <c r="K71" i="1"/>
  <c r="I71" i="1"/>
  <c r="Q70" i="1"/>
  <c r="S70" i="1" s="1"/>
  <c r="Y70" i="1" s="1"/>
  <c r="K70" i="1"/>
  <c r="I70" i="1"/>
  <c r="Q69" i="1"/>
  <c r="K69" i="1"/>
  <c r="I69" i="1"/>
  <c r="Q68" i="1"/>
  <c r="S68" i="1" s="1"/>
  <c r="Y68" i="1" s="1"/>
  <c r="K68" i="1"/>
  <c r="I68" i="1"/>
  <c r="Q67" i="1"/>
  <c r="R67" i="1" s="1"/>
  <c r="K67" i="1"/>
  <c r="I67" i="1"/>
  <c r="Q66" i="1"/>
  <c r="S66" i="1" s="1"/>
  <c r="Y66" i="1" s="1"/>
  <c r="K66" i="1"/>
  <c r="I66" i="1"/>
  <c r="Q65" i="1"/>
  <c r="S65" i="1" s="1"/>
  <c r="Y65" i="1" s="1"/>
  <c r="K65" i="1"/>
  <c r="I65" i="1"/>
  <c r="U64" i="1"/>
  <c r="S64" i="1"/>
  <c r="Y64" i="1" s="1"/>
  <c r="Q64" i="1"/>
  <c r="R64" i="1" s="1"/>
  <c r="X64" i="1" s="1"/>
  <c r="K64" i="1"/>
  <c r="N64" i="1" s="1"/>
  <c r="I64" i="1"/>
  <c r="Q63" i="1"/>
  <c r="K63" i="1"/>
  <c r="I63" i="1"/>
  <c r="Q62" i="1"/>
  <c r="K62" i="1"/>
  <c r="I62" i="1"/>
  <c r="Q61" i="1"/>
  <c r="R61" i="1" s="1"/>
  <c r="K61" i="1"/>
  <c r="N61" i="1" s="1"/>
  <c r="I61" i="1"/>
  <c r="Q60" i="1"/>
  <c r="K60" i="1"/>
  <c r="N60" i="1" s="1"/>
  <c r="I60" i="1"/>
  <c r="Q59" i="1"/>
  <c r="R59" i="1" s="1"/>
  <c r="K59" i="1"/>
  <c r="I59" i="1"/>
  <c r="Q58" i="1"/>
  <c r="S58" i="1" s="1"/>
  <c r="Y58" i="1" s="1"/>
  <c r="K58" i="1"/>
  <c r="I58" i="1"/>
  <c r="Q57" i="1"/>
  <c r="K57" i="1"/>
  <c r="N57" i="1" s="1"/>
  <c r="I57" i="1"/>
  <c r="Q56" i="1"/>
  <c r="S56" i="1" s="1"/>
  <c r="Y56" i="1" s="1"/>
  <c r="K56" i="1"/>
  <c r="I56" i="1"/>
  <c r="Q55" i="1"/>
  <c r="R55" i="1" s="1"/>
  <c r="K55" i="1"/>
  <c r="I55" i="1"/>
  <c r="Q54" i="1"/>
  <c r="S54" i="1" s="1"/>
  <c r="Y54" i="1" s="1"/>
  <c r="K54" i="1"/>
  <c r="I54" i="1"/>
  <c r="Q53" i="1"/>
  <c r="K53" i="1"/>
  <c r="I53" i="1"/>
  <c r="Q52" i="1"/>
  <c r="R52" i="1" s="1"/>
  <c r="K52" i="1"/>
  <c r="I52" i="1"/>
  <c r="Q51" i="1"/>
  <c r="K51" i="1"/>
  <c r="I51" i="1"/>
  <c r="Q50" i="1"/>
  <c r="S50" i="1" s="1"/>
  <c r="Y50" i="1" s="1"/>
  <c r="K50" i="1"/>
  <c r="I50" i="1"/>
  <c r="Q49" i="1"/>
  <c r="R49" i="1" s="1"/>
  <c r="U49" i="1" s="1"/>
  <c r="K49" i="1"/>
  <c r="I49" i="1"/>
  <c r="Q48" i="1"/>
  <c r="K48" i="1"/>
  <c r="I48" i="1"/>
  <c r="Q47" i="1"/>
  <c r="S47" i="1" s="1"/>
  <c r="Y47" i="1" s="1"/>
  <c r="K47" i="1"/>
  <c r="I47" i="1"/>
  <c r="Q46" i="1"/>
  <c r="S46" i="1" s="1"/>
  <c r="Y46" i="1" s="1"/>
  <c r="K46" i="1"/>
  <c r="I46" i="1"/>
  <c r="Q45" i="1"/>
  <c r="K45" i="1"/>
  <c r="N45" i="1" s="1"/>
  <c r="I45" i="1"/>
  <c r="Q44" i="1"/>
  <c r="S44" i="1" s="1"/>
  <c r="Y44" i="1" s="1"/>
  <c r="K44" i="1"/>
  <c r="I44" i="1"/>
  <c r="Q43" i="1"/>
  <c r="R43" i="1" s="1"/>
  <c r="K43" i="1"/>
  <c r="I43" i="1"/>
  <c r="Q42" i="1"/>
  <c r="S42" i="1" s="1"/>
  <c r="Y42" i="1" s="1"/>
  <c r="K42" i="1"/>
  <c r="I42" i="1"/>
  <c r="Q41" i="1"/>
  <c r="R41" i="1" s="1"/>
  <c r="U41" i="1" s="1"/>
  <c r="K41" i="1"/>
  <c r="I41" i="1"/>
  <c r="Q40" i="1"/>
  <c r="S40" i="1" s="1"/>
  <c r="Y40" i="1" s="1"/>
  <c r="K40" i="1"/>
  <c r="I40" i="1"/>
  <c r="Q39" i="1"/>
  <c r="R39" i="1" s="1"/>
  <c r="K39" i="1"/>
  <c r="I39" i="1"/>
  <c r="Q38" i="1"/>
  <c r="S38" i="1" s="1"/>
  <c r="Y38" i="1" s="1"/>
  <c r="K38" i="1"/>
  <c r="N38" i="1" s="1"/>
  <c r="I38" i="1"/>
  <c r="S37" i="1"/>
  <c r="Y37" i="1" s="1"/>
  <c r="Q37" i="1"/>
  <c r="R37" i="1" s="1"/>
  <c r="K37" i="1"/>
  <c r="I37" i="1"/>
  <c r="Q36" i="1"/>
  <c r="R36" i="1" s="1"/>
  <c r="X36" i="1" s="1"/>
  <c r="K36" i="1"/>
  <c r="N36" i="1" s="1"/>
  <c r="O36" i="1" s="1"/>
  <c r="I36" i="1"/>
  <c r="Q35" i="1"/>
  <c r="S35" i="1" s="1"/>
  <c r="Y35" i="1" s="1"/>
  <c r="K35" i="1"/>
  <c r="I35" i="1"/>
  <c r="Q34" i="1"/>
  <c r="S34" i="1" s="1"/>
  <c r="Y34" i="1" s="1"/>
  <c r="K34" i="1"/>
  <c r="I34" i="1"/>
  <c r="Q33" i="1"/>
  <c r="K33" i="1"/>
  <c r="I33" i="1"/>
  <c r="Q32" i="1"/>
  <c r="S32" i="1" s="1"/>
  <c r="Y32" i="1" s="1"/>
  <c r="K32" i="1"/>
  <c r="I32" i="1"/>
  <c r="Q31" i="1"/>
  <c r="R31" i="1" s="1"/>
  <c r="K31" i="1"/>
  <c r="N31" i="1" s="1"/>
  <c r="I31" i="1"/>
  <c r="Q30" i="1"/>
  <c r="S30" i="1" s="1"/>
  <c r="Y30" i="1" s="1"/>
  <c r="K30" i="1"/>
  <c r="I30" i="1"/>
  <c r="Q29" i="1"/>
  <c r="S29" i="1" s="1"/>
  <c r="Y29" i="1" s="1"/>
  <c r="K29" i="1"/>
  <c r="I29" i="1"/>
  <c r="Q28" i="1"/>
  <c r="S28" i="1" s="1"/>
  <c r="Y28" i="1" s="1"/>
  <c r="K28" i="1"/>
  <c r="I28" i="1"/>
  <c r="Q27" i="1"/>
  <c r="K27" i="1"/>
  <c r="I27" i="1"/>
  <c r="Q26" i="1"/>
  <c r="K26" i="1"/>
  <c r="I26" i="1"/>
  <c r="Q25" i="1"/>
  <c r="R25" i="1" s="1"/>
  <c r="X25" i="1" s="1"/>
  <c r="K25" i="1"/>
  <c r="I25" i="1"/>
  <c r="Q24" i="1"/>
  <c r="K24" i="1"/>
  <c r="I24" i="1"/>
  <c r="Q23" i="1"/>
  <c r="R23" i="1" s="1"/>
  <c r="K23" i="1"/>
  <c r="I23" i="1"/>
  <c r="Q22" i="1"/>
  <c r="S22" i="1" s="1"/>
  <c r="Y22" i="1" s="1"/>
  <c r="K22" i="1"/>
  <c r="N22" i="1" s="1"/>
  <c r="I22" i="1"/>
  <c r="Q21" i="1"/>
  <c r="K21" i="1"/>
  <c r="I21" i="1"/>
  <c r="Q20" i="1"/>
  <c r="S20" i="1" s="1"/>
  <c r="Y20" i="1" s="1"/>
  <c r="K20" i="1"/>
  <c r="I20" i="1"/>
  <c r="Q19" i="1"/>
  <c r="R19" i="1" s="1"/>
  <c r="K19" i="1"/>
  <c r="I19" i="1"/>
  <c r="Q18" i="1"/>
  <c r="S18" i="1" s="1"/>
  <c r="Y18" i="1" s="1"/>
  <c r="K18" i="1"/>
  <c r="I18" i="1"/>
  <c r="Q17" i="1"/>
  <c r="R17" i="1" s="1"/>
  <c r="K17" i="1"/>
  <c r="I17" i="1"/>
  <c r="Q16" i="1"/>
  <c r="R16" i="1" s="1"/>
  <c r="X16" i="1" s="1"/>
  <c r="K16" i="1"/>
  <c r="I16" i="1"/>
  <c r="Q15" i="1"/>
  <c r="S15" i="1" s="1"/>
  <c r="Y15" i="1" s="1"/>
  <c r="K15" i="1"/>
  <c r="I15" i="1"/>
  <c r="Q14" i="1"/>
  <c r="K14" i="1"/>
  <c r="N14" i="1" s="1"/>
  <c r="I14" i="1"/>
  <c r="Q13" i="1"/>
  <c r="S13" i="1" s="1"/>
  <c r="Y13" i="1" s="1"/>
  <c r="K13" i="1"/>
  <c r="I13" i="1"/>
  <c r="R12" i="1"/>
  <c r="X12" i="1" s="1"/>
  <c r="Q12" i="1"/>
  <c r="S12" i="1" s="1"/>
  <c r="Y12" i="1" s="1"/>
  <c r="K12" i="1"/>
  <c r="I12" i="1"/>
  <c r="Q11" i="1"/>
  <c r="K11" i="1"/>
  <c r="I11" i="1"/>
  <c r="Q10" i="1"/>
  <c r="S10" i="1" s="1"/>
  <c r="Y10" i="1" s="1"/>
  <c r="K10" i="1"/>
  <c r="N10" i="1" s="1"/>
  <c r="I10" i="1"/>
  <c r="Q9" i="1"/>
  <c r="K9" i="1"/>
  <c r="I9" i="1"/>
  <c r="Q8" i="1"/>
  <c r="S8" i="1" s="1"/>
  <c r="Y8" i="1" s="1"/>
  <c r="K8" i="1"/>
  <c r="I8" i="1"/>
  <c r="Q7" i="1"/>
  <c r="R7" i="1" s="1"/>
  <c r="X7" i="1" s="1"/>
  <c r="K7" i="1"/>
  <c r="N7" i="1" s="1"/>
  <c r="I7" i="1"/>
  <c r="Q6" i="1"/>
  <c r="R6" i="1" s="1"/>
  <c r="K6" i="1"/>
  <c r="I6" i="1"/>
  <c r="R5" i="1"/>
  <c r="X5" i="1" s="1"/>
  <c r="Q5" i="1"/>
  <c r="S5" i="1" s="1"/>
  <c r="Y5" i="1" s="1"/>
  <c r="K5" i="1"/>
  <c r="I5" i="1"/>
  <c r="N2" i="1"/>
  <c r="N201" i="1" s="1"/>
  <c r="X456" i="1" l="1"/>
  <c r="U456" i="1"/>
  <c r="U90" i="1"/>
  <c r="X90" i="1"/>
  <c r="X113" i="1"/>
  <c r="S61" i="1"/>
  <c r="Y61" i="1" s="1"/>
  <c r="S71" i="1"/>
  <c r="Y71" i="1" s="1"/>
  <c r="R183" i="1"/>
  <c r="X183" i="1" s="1"/>
  <c r="U205" i="1"/>
  <c r="S291" i="1"/>
  <c r="Y291" i="1" s="1"/>
  <c r="Z346" i="1"/>
  <c r="R442" i="1"/>
  <c r="X442" i="1" s="1"/>
  <c r="S469" i="1"/>
  <c r="Y469" i="1" s="1"/>
  <c r="U499" i="1"/>
  <c r="S575" i="1"/>
  <c r="Y575" i="1" s="1"/>
  <c r="S597" i="1"/>
  <c r="Y597" i="1" s="1"/>
  <c r="S78" i="1"/>
  <c r="Y78" i="1" s="1"/>
  <c r="R201" i="1"/>
  <c r="S43" i="1"/>
  <c r="Y43" i="1" s="1"/>
  <c r="S198" i="1"/>
  <c r="Y198" i="1" s="1"/>
  <c r="Z198" i="1" s="1"/>
  <c r="S319" i="1"/>
  <c r="Y319" i="1" s="1"/>
  <c r="R346" i="1"/>
  <c r="X346" i="1" s="1"/>
  <c r="S374" i="1"/>
  <c r="Y374" i="1" s="1"/>
  <c r="X402" i="1"/>
  <c r="O402" i="1" s="1"/>
  <c r="R18" i="1"/>
  <c r="R40" i="1"/>
  <c r="R228" i="1"/>
  <c r="U228" i="1" s="1"/>
  <c r="R473" i="1"/>
  <c r="U473" i="1" s="1"/>
  <c r="U491" i="1"/>
  <c r="S494" i="1"/>
  <c r="Y494" i="1" s="1"/>
  <c r="Z494" i="1" s="1"/>
  <c r="S340" i="1"/>
  <c r="Y340" i="1" s="1"/>
  <c r="Z340" i="1" s="1"/>
  <c r="R360" i="1"/>
  <c r="X360" i="1" s="1"/>
  <c r="R436" i="1"/>
  <c r="R457" i="1"/>
  <c r="S463" i="1"/>
  <c r="Y463" i="1" s="1"/>
  <c r="U494" i="1"/>
  <c r="S294" i="1"/>
  <c r="Y294" i="1" s="1"/>
  <c r="S111" i="1"/>
  <c r="Y111" i="1" s="1"/>
  <c r="R133" i="1"/>
  <c r="U133" i="1" s="1"/>
  <c r="S206" i="1"/>
  <c r="Y206" i="1" s="1"/>
  <c r="R289" i="1"/>
  <c r="X289" i="1" s="1"/>
  <c r="R295" i="1"/>
  <c r="S378" i="1"/>
  <c r="Y378" i="1" s="1"/>
  <c r="R443" i="1"/>
  <c r="X443" i="1" s="1"/>
  <c r="O443" i="1" s="1"/>
  <c r="U463" i="1"/>
  <c r="R609" i="1"/>
  <c r="S638" i="1"/>
  <c r="Y638" i="1" s="1"/>
  <c r="R30" i="1"/>
  <c r="S59" i="1"/>
  <c r="Y59" i="1" s="1"/>
  <c r="Z338" i="1"/>
  <c r="R358" i="1"/>
  <c r="S375" i="1"/>
  <c r="Y375" i="1" s="1"/>
  <c r="R461" i="1"/>
  <c r="U500" i="1"/>
  <c r="S510" i="1"/>
  <c r="Y510" i="1" s="1"/>
  <c r="Z510" i="1" s="1"/>
  <c r="U517" i="1"/>
  <c r="R616" i="1"/>
  <c r="U616" i="1" s="1"/>
  <c r="S578" i="1"/>
  <c r="Y578" i="1" s="1"/>
  <c r="S108" i="1"/>
  <c r="Y108" i="1" s="1"/>
  <c r="X282" i="1"/>
  <c r="O282" i="1" s="1"/>
  <c r="R338" i="1"/>
  <c r="X338" i="1" s="1"/>
  <c r="S368" i="1"/>
  <c r="Y368" i="1" s="1"/>
  <c r="S382" i="1"/>
  <c r="Y382" i="1" s="1"/>
  <c r="S474" i="1"/>
  <c r="Y474" i="1" s="1"/>
  <c r="S481" i="1"/>
  <c r="Y481" i="1" s="1"/>
  <c r="Z481" i="1" s="1"/>
  <c r="S498" i="1"/>
  <c r="Y498" i="1" s="1"/>
  <c r="X510" i="1"/>
  <c r="U635" i="1"/>
  <c r="S646" i="1"/>
  <c r="Y646" i="1" s="1"/>
  <c r="Z646" i="1" s="1"/>
  <c r="S23" i="1"/>
  <c r="Y23" i="1" s="1"/>
  <c r="R66" i="1"/>
  <c r="U66" i="1" s="1"/>
  <c r="R77" i="1"/>
  <c r="U77" i="1" s="1"/>
  <c r="R149" i="1"/>
  <c r="X149" i="1" s="1"/>
  <c r="U160" i="1"/>
  <c r="R249" i="1"/>
  <c r="U249" i="1" s="1"/>
  <c r="R361" i="1"/>
  <c r="U382" i="1"/>
  <c r="X474" i="1"/>
  <c r="R592" i="1"/>
  <c r="U592" i="1" s="1"/>
  <c r="R189" i="1"/>
  <c r="X189" i="1" s="1"/>
  <c r="Z189" i="1" s="1"/>
  <c r="O328" i="1"/>
  <c r="S441" i="1"/>
  <c r="Y441" i="1" s="1"/>
  <c r="X478" i="1"/>
  <c r="R504" i="1"/>
  <c r="U504" i="1" s="1"/>
  <c r="R529" i="1"/>
  <c r="R544" i="1"/>
  <c r="S596" i="1"/>
  <c r="Y596" i="1" s="1"/>
  <c r="R628" i="1"/>
  <c r="U628" i="1" s="1"/>
  <c r="R639" i="1"/>
  <c r="R604" i="1"/>
  <c r="S49" i="1"/>
  <c r="Y49" i="1" s="1"/>
  <c r="Z49" i="1" s="1"/>
  <c r="X207" i="1"/>
  <c r="Z207" i="1" s="1"/>
  <c r="S261" i="1"/>
  <c r="Y261" i="1" s="1"/>
  <c r="S328" i="1"/>
  <c r="Y328" i="1" s="1"/>
  <c r="S359" i="1"/>
  <c r="Y359" i="1" s="1"/>
  <c r="Z359" i="1" s="1"/>
  <c r="U376" i="1"/>
  <c r="S559" i="1"/>
  <c r="Y559" i="1" s="1"/>
  <c r="S581" i="1"/>
  <c r="Y581" i="1" s="1"/>
  <c r="Z581" i="1" s="1"/>
  <c r="R617" i="1"/>
  <c r="X617" i="1" s="1"/>
  <c r="U156" i="1"/>
  <c r="X156" i="1"/>
  <c r="U498" i="1"/>
  <c r="X498" i="1"/>
  <c r="U19" i="1"/>
  <c r="X19" i="1"/>
  <c r="S19" i="1"/>
  <c r="Y19" i="1" s="1"/>
  <c r="N32" i="1"/>
  <c r="N85" i="1"/>
  <c r="S152" i="1"/>
  <c r="Y152" i="1" s="1"/>
  <c r="N12" i="1"/>
  <c r="O12" i="1" s="1"/>
  <c r="N43" i="1"/>
  <c r="N62" i="1"/>
  <c r="N105" i="1"/>
  <c r="N118" i="1"/>
  <c r="S156" i="1"/>
  <c r="Y156" i="1" s="1"/>
  <c r="Z156" i="1" s="1"/>
  <c r="N172" i="1"/>
  <c r="N208" i="1"/>
  <c r="X246" i="1"/>
  <c r="N253" i="1"/>
  <c r="N267" i="1"/>
  <c r="U419" i="1"/>
  <c r="Z5" i="1"/>
  <c r="R15" i="1"/>
  <c r="N30" i="1"/>
  <c r="N33" i="1"/>
  <c r="N40" i="1"/>
  <c r="X49" i="1"/>
  <c r="O49" i="1" s="1"/>
  <c r="R124" i="1"/>
  <c r="U124" i="1" s="1"/>
  <c r="R127" i="1"/>
  <c r="U136" i="1"/>
  <c r="N144" i="1"/>
  <c r="S147" i="1"/>
  <c r="Y147" i="1" s="1"/>
  <c r="Z147" i="1" s="1"/>
  <c r="N163" i="1"/>
  <c r="S166" i="1"/>
  <c r="Y166" i="1" s="1"/>
  <c r="Z166" i="1" s="1"/>
  <c r="N179" i="1"/>
  <c r="R199" i="1"/>
  <c r="X226" i="1"/>
  <c r="N257" i="1"/>
  <c r="N271" i="1"/>
  <c r="S288" i="1"/>
  <c r="Y288" i="1" s="1"/>
  <c r="U328" i="1"/>
  <c r="U340" i="1"/>
  <c r="S352" i="1"/>
  <c r="Y352" i="1" s="1"/>
  <c r="Z352" i="1" s="1"/>
  <c r="S367" i="1"/>
  <c r="Y367" i="1" s="1"/>
  <c r="Z367" i="1" s="1"/>
  <c r="R370" i="1"/>
  <c r="X370" i="1" s="1"/>
  <c r="O370" i="1" s="1"/>
  <c r="S406" i="1"/>
  <c r="Y406" i="1" s="1"/>
  <c r="R449" i="1"/>
  <c r="X449" i="1" s="1"/>
  <c r="O449" i="1" s="1"/>
  <c r="R523" i="1"/>
  <c r="X523" i="1" s="1"/>
  <c r="S567" i="1"/>
  <c r="Y567" i="1" s="1"/>
  <c r="S658" i="1"/>
  <c r="Y658" i="1" s="1"/>
  <c r="Z658" i="1" s="1"/>
  <c r="S676" i="1"/>
  <c r="Y676" i="1" s="1"/>
  <c r="Z676" i="1" s="1"/>
  <c r="N178" i="1"/>
  <c r="N215" i="1"/>
  <c r="N232" i="1"/>
  <c r="N239" i="1"/>
  <c r="S506" i="1"/>
  <c r="Y506" i="1" s="1"/>
  <c r="N20" i="1"/>
  <c r="N37" i="1"/>
  <c r="N56" i="1"/>
  <c r="N79" i="1"/>
  <c r="N86" i="1"/>
  <c r="N90" i="1"/>
  <c r="O90" i="1" s="1"/>
  <c r="N131" i="1"/>
  <c r="N134" i="1"/>
  <c r="N170" i="1"/>
  <c r="N230" i="1"/>
  <c r="N233" i="1"/>
  <c r="N244" i="1"/>
  <c r="N247" i="1"/>
  <c r="N250" i="1"/>
  <c r="N261" i="1"/>
  <c r="N282" i="1"/>
  <c r="U346" i="1"/>
  <c r="U352" i="1"/>
  <c r="O456" i="1"/>
  <c r="X546" i="1"/>
  <c r="Z546" i="1" s="1"/>
  <c r="U567" i="1"/>
  <c r="U658" i="1"/>
  <c r="S6" i="1"/>
  <c r="Y6" i="1" s="1"/>
  <c r="N49" i="1"/>
  <c r="N98" i="1"/>
  <c r="N182" i="1"/>
  <c r="S17" i="1"/>
  <c r="Y17" i="1" s="1"/>
  <c r="N23" i="1"/>
  <c r="N92" i="1"/>
  <c r="N102" i="1"/>
  <c r="N114" i="1"/>
  <c r="N150" i="1"/>
  <c r="O346" i="1"/>
  <c r="S516" i="1"/>
  <c r="Y516" i="1" s="1"/>
  <c r="S580" i="1"/>
  <c r="Y580" i="1" s="1"/>
  <c r="N50" i="1"/>
  <c r="N66" i="1"/>
  <c r="N72" i="1"/>
  <c r="N106" i="1"/>
  <c r="N115" i="1"/>
  <c r="N137" i="1"/>
  <c r="N151" i="1"/>
  <c r="O163" i="1"/>
  <c r="N167" i="1"/>
  <c r="N197" i="1"/>
  <c r="N209" i="1"/>
  <c r="N289" i="1"/>
  <c r="O289" i="1" s="1"/>
  <c r="N488" i="1"/>
  <c r="R599" i="1"/>
  <c r="R655" i="1"/>
  <c r="U655" i="1" s="1"/>
  <c r="N175" i="1"/>
  <c r="N13" i="1"/>
  <c r="N34" i="1"/>
  <c r="N47" i="1"/>
  <c r="N112" i="1"/>
  <c r="O112" i="1" s="1"/>
  <c r="N119" i="1"/>
  <c r="N125" i="1"/>
  <c r="N173" i="1"/>
  <c r="N177" i="1"/>
  <c r="N217" i="1"/>
  <c r="N268" i="1"/>
  <c r="N279" i="1"/>
  <c r="O382" i="1"/>
  <c r="N265" i="1"/>
  <c r="N276" i="1"/>
  <c r="R119" i="1"/>
  <c r="X119" i="1" s="1"/>
  <c r="N207" i="1"/>
  <c r="S224" i="1"/>
  <c r="Y224" i="1" s="1"/>
  <c r="N245" i="1"/>
  <c r="N463" i="1"/>
  <c r="N466" i="1"/>
  <c r="S558" i="1"/>
  <c r="Y558" i="1" s="1"/>
  <c r="R674" i="1"/>
  <c r="X674" i="1" s="1"/>
  <c r="Z674" i="1" s="1"/>
  <c r="S112" i="1"/>
  <c r="Y112" i="1" s="1"/>
  <c r="Z112" i="1" s="1"/>
  <c r="R177" i="1"/>
  <c r="X177" i="1" s="1"/>
  <c r="Z177" i="1" s="1"/>
  <c r="N194" i="1"/>
  <c r="U16" i="1"/>
  <c r="N19" i="1"/>
  <c r="O19" i="1" s="1"/>
  <c r="N25" i="1"/>
  <c r="R28" i="1"/>
  <c r="U28" i="1" s="1"/>
  <c r="N35" i="1"/>
  <c r="R54" i="1"/>
  <c r="N70" i="1"/>
  <c r="S97" i="1"/>
  <c r="Y97" i="1" s="1"/>
  <c r="S103" i="1"/>
  <c r="Y103" i="1" s="1"/>
  <c r="S109" i="1"/>
  <c r="Y109" i="1" s="1"/>
  <c r="N142" i="1"/>
  <c r="N146" i="1"/>
  <c r="N158" i="1"/>
  <c r="N174" i="1"/>
  <c r="N188" i="1"/>
  <c r="R221" i="1"/>
  <c r="X221" i="1" s="1"/>
  <c r="R231" i="1"/>
  <c r="X234" i="1"/>
  <c r="N238" i="1"/>
  <c r="N269" i="1"/>
  <c r="R276" i="1"/>
  <c r="U276" i="1" s="1"/>
  <c r="N280" i="1"/>
  <c r="S292" i="1"/>
  <c r="Y292" i="1" s="1"/>
  <c r="R353" i="1"/>
  <c r="X353" i="1" s="1"/>
  <c r="R381" i="1"/>
  <c r="R411" i="1"/>
  <c r="S424" i="1"/>
  <c r="Y424" i="1" s="1"/>
  <c r="U469" i="1"/>
  <c r="R482" i="1"/>
  <c r="R502" i="1"/>
  <c r="R531" i="1"/>
  <c r="R551" i="1"/>
  <c r="X551" i="1" s="1"/>
  <c r="R642" i="1"/>
  <c r="X642" i="1" s="1"/>
  <c r="Z642" i="1" s="1"/>
  <c r="R663" i="1"/>
  <c r="N259" i="1"/>
  <c r="N266" i="1"/>
  <c r="N287" i="1"/>
  <c r="X292" i="1"/>
  <c r="O292" i="1" s="1"/>
  <c r="N249" i="1"/>
  <c r="U25" i="1"/>
  <c r="N42" i="1"/>
  <c r="N52" i="1"/>
  <c r="N58" i="1"/>
  <c r="N67" i="1"/>
  <c r="N74" i="1"/>
  <c r="N104" i="1"/>
  <c r="N110" i="1"/>
  <c r="N117" i="1"/>
  <c r="S126" i="1"/>
  <c r="Y126" i="1" s="1"/>
  <c r="N139" i="1"/>
  <c r="U149" i="1"/>
  <c r="N185" i="1"/>
  <c r="X198" i="1"/>
  <c r="S218" i="1"/>
  <c r="Y218" i="1" s="1"/>
  <c r="N222" i="1"/>
  <c r="S242" i="1"/>
  <c r="Y242" i="1" s="1"/>
  <c r="R273" i="1"/>
  <c r="N277" i="1"/>
  <c r="U280" i="1"/>
  <c r="R290" i="1"/>
  <c r="R302" i="1"/>
  <c r="X311" i="1"/>
  <c r="O311" i="1" s="1"/>
  <c r="R351" i="1"/>
  <c r="R387" i="1"/>
  <c r="X387" i="1" s="1"/>
  <c r="Z387" i="1" s="1"/>
  <c r="R398" i="1"/>
  <c r="R435" i="1"/>
  <c r="O438" i="1"/>
  <c r="S448" i="1"/>
  <c r="Y448" i="1" s="1"/>
  <c r="R486" i="1"/>
  <c r="U486" i="1" s="1"/>
  <c r="R492" i="1"/>
  <c r="R495" i="1"/>
  <c r="U495" i="1" s="1"/>
  <c r="U522" i="1"/>
  <c r="U569" i="1"/>
  <c r="S625" i="1"/>
  <c r="Y625" i="1" s="1"/>
  <c r="Z149" i="1"/>
  <c r="N189" i="1"/>
  <c r="N8" i="1"/>
  <c r="N26" i="1"/>
  <c r="S39" i="1"/>
  <c r="Y39" i="1" s="1"/>
  <c r="N46" i="1"/>
  <c r="S52" i="1"/>
  <c r="Y52" i="1" s="1"/>
  <c r="N55" i="1"/>
  <c r="N82" i="1"/>
  <c r="N127" i="1"/>
  <c r="N130" i="1"/>
  <c r="S162" i="1"/>
  <c r="Y162" i="1" s="1"/>
  <c r="S211" i="1"/>
  <c r="Y211" i="1" s="1"/>
  <c r="N219" i="1"/>
  <c r="R235" i="1"/>
  <c r="S246" i="1"/>
  <c r="Y246" i="1" s="1"/>
  <c r="N288" i="1"/>
  <c r="O288" i="1" s="1"/>
  <c r="S315" i="1"/>
  <c r="Y315" i="1" s="1"/>
  <c r="S419" i="1"/>
  <c r="Y419" i="1" s="1"/>
  <c r="Z419" i="1" s="1"/>
  <c r="S483" i="1"/>
  <c r="Y483" i="1" s="1"/>
  <c r="N496" i="1"/>
  <c r="R503" i="1"/>
  <c r="R509" i="1"/>
  <c r="N526" i="1"/>
  <c r="R643" i="1"/>
  <c r="R654" i="1"/>
  <c r="X286" i="1"/>
  <c r="U286" i="1"/>
  <c r="Z185" i="1"/>
  <c r="S75" i="1"/>
  <c r="Y75" i="1" s="1"/>
  <c r="R115" i="1"/>
  <c r="S155" i="1"/>
  <c r="Y155" i="1" s="1"/>
  <c r="X232" i="1"/>
  <c r="O232" i="1" s="1"/>
  <c r="U232" i="1"/>
  <c r="S286" i="1"/>
  <c r="Y286" i="1" s="1"/>
  <c r="S7" i="1"/>
  <c r="Y7" i="1" s="1"/>
  <c r="X78" i="1"/>
  <c r="U78" i="1"/>
  <c r="R139" i="1"/>
  <c r="S661" i="1"/>
  <c r="Y661" i="1" s="1"/>
  <c r="R661" i="1"/>
  <c r="R101" i="1"/>
  <c r="S216" i="1"/>
  <c r="Y216" i="1" s="1"/>
  <c r="R216" i="1"/>
  <c r="X216" i="1" s="1"/>
  <c r="Z216" i="1" s="1"/>
  <c r="X270" i="1"/>
  <c r="U270" i="1"/>
  <c r="S202" i="1"/>
  <c r="Y202" i="1" s="1"/>
  <c r="Z202" i="1" s="1"/>
  <c r="X147" i="1"/>
  <c r="S240" i="1"/>
  <c r="Y240" i="1" s="1"/>
  <c r="R240" i="1"/>
  <c r="X240" i="1" s="1"/>
  <c r="Z240" i="1" s="1"/>
  <c r="S270" i="1"/>
  <c r="Y270" i="1" s="1"/>
  <c r="S53" i="1"/>
  <c r="Y53" i="1" s="1"/>
  <c r="R53" i="1"/>
  <c r="U53" i="1" s="1"/>
  <c r="X202" i="1"/>
  <c r="U202" i="1"/>
  <c r="S11" i="1"/>
  <c r="Y11" i="1" s="1"/>
  <c r="R11" i="1"/>
  <c r="U11" i="1" s="1"/>
  <c r="R88" i="1"/>
  <c r="X155" i="1"/>
  <c r="U155" i="1"/>
  <c r="S26" i="1"/>
  <c r="Y26" i="1" s="1"/>
  <c r="R26" i="1"/>
  <c r="U26" i="1" s="1"/>
  <c r="R42" i="1"/>
  <c r="R48" i="1"/>
  <c r="S48" i="1"/>
  <c r="Y48" i="1" s="1"/>
  <c r="R60" i="1"/>
  <c r="S60" i="1"/>
  <c r="Y60" i="1" s="1"/>
  <c r="S79" i="1"/>
  <c r="Y79" i="1" s="1"/>
  <c r="X171" i="1"/>
  <c r="Z171" i="1" s="1"/>
  <c r="U171" i="1"/>
  <c r="S83" i="1"/>
  <c r="Y83" i="1" s="1"/>
  <c r="R83" i="1"/>
  <c r="R185" i="1"/>
  <c r="X185" i="1" s="1"/>
  <c r="R213" i="1"/>
  <c r="U6" i="1"/>
  <c r="X6" i="1"/>
  <c r="R73" i="1"/>
  <c r="S73" i="1"/>
  <c r="Y73" i="1" s="1"/>
  <c r="S153" i="1"/>
  <c r="Y153" i="1" s="1"/>
  <c r="R153" i="1"/>
  <c r="R169" i="1"/>
  <c r="U169" i="1" s="1"/>
  <c r="S169" i="1"/>
  <c r="Y169" i="1" s="1"/>
  <c r="Z169" i="1" s="1"/>
  <c r="S281" i="1"/>
  <c r="Y281" i="1" s="1"/>
  <c r="R281" i="1"/>
  <c r="S63" i="1"/>
  <c r="Y63" i="1" s="1"/>
  <c r="R63" i="1"/>
  <c r="O120" i="1"/>
  <c r="X126" i="1"/>
  <c r="U126" i="1"/>
  <c r="Z126" i="1"/>
  <c r="Z163" i="1"/>
  <c r="X108" i="1"/>
  <c r="U108" i="1"/>
  <c r="S114" i="1"/>
  <c r="Y114" i="1" s="1"/>
  <c r="R114" i="1"/>
  <c r="R334" i="1"/>
  <c r="X334" i="1" s="1"/>
  <c r="S334" i="1"/>
  <c r="Y334" i="1" s="1"/>
  <c r="S300" i="1"/>
  <c r="Y300" i="1" s="1"/>
  <c r="R300" i="1"/>
  <c r="X300" i="1" s="1"/>
  <c r="O300" i="1" s="1"/>
  <c r="R331" i="1"/>
  <c r="X331" i="1" s="1"/>
  <c r="S331" i="1"/>
  <c r="Y331" i="1" s="1"/>
  <c r="S489" i="1"/>
  <c r="Y489" i="1" s="1"/>
  <c r="R489" i="1"/>
  <c r="U489" i="1" s="1"/>
  <c r="R460" i="1"/>
  <c r="S460" i="1"/>
  <c r="Y460" i="1" s="1"/>
  <c r="U166" i="1"/>
  <c r="R219" i="1"/>
  <c r="R243" i="1"/>
  <c r="R245" i="1"/>
  <c r="U248" i="1"/>
  <c r="S254" i="1"/>
  <c r="Y254" i="1" s="1"/>
  <c r="Z254" i="1" s="1"/>
  <c r="R685" i="1"/>
  <c r="S685" i="1"/>
  <c r="Y685" i="1" s="1"/>
  <c r="S418" i="1"/>
  <c r="Y418" i="1" s="1"/>
  <c r="R418" i="1"/>
  <c r="X457" i="1"/>
  <c r="O457" i="1" s="1"/>
  <c r="U457" i="1"/>
  <c r="S55" i="1"/>
  <c r="Y55" i="1" s="1"/>
  <c r="S67" i="1"/>
  <c r="Y67" i="1" s="1"/>
  <c r="S146" i="1"/>
  <c r="Y146" i="1" s="1"/>
  <c r="U254" i="1"/>
  <c r="U289" i="1"/>
  <c r="U363" i="1"/>
  <c r="X363" i="1"/>
  <c r="S415" i="1"/>
  <c r="Y415" i="1" s="1"/>
  <c r="R415" i="1"/>
  <c r="X609" i="1"/>
  <c r="U609" i="1"/>
  <c r="R29" i="1"/>
  <c r="X29" i="1" s="1"/>
  <c r="S36" i="1"/>
  <c r="Y36" i="1" s="1"/>
  <c r="Z36" i="1" s="1"/>
  <c r="S41" i="1"/>
  <c r="Y41" i="1" s="1"/>
  <c r="R76" i="1"/>
  <c r="R100" i="1"/>
  <c r="X100" i="1" s="1"/>
  <c r="Z100" i="1" s="1"/>
  <c r="Z121" i="1"/>
  <c r="R138" i="1"/>
  <c r="X138" i="1" s="1"/>
  <c r="Z138" i="1" s="1"/>
  <c r="R174" i="1"/>
  <c r="R195" i="1"/>
  <c r="U195" i="1" s="1"/>
  <c r="X208" i="1"/>
  <c r="O208" i="1" s="1"/>
  <c r="S217" i="1"/>
  <c r="Y217" i="1" s="1"/>
  <c r="R239" i="1"/>
  <c r="R257" i="1"/>
  <c r="R269" i="1"/>
  <c r="R271" i="1"/>
  <c r="X271" i="1" s="1"/>
  <c r="O271" i="1" s="1"/>
  <c r="S285" i="1"/>
  <c r="Y285" i="1" s="1"/>
  <c r="Z285" i="1" s="1"/>
  <c r="U36" i="1"/>
  <c r="O64" i="1"/>
  <c r="O84" i="1"/>
  <c r="U102" i="1"/>
  <c r="U121" i="1"/>
  <c r="O147" i="1"/>
  <c r="U285" i="1"/>
  <c r="O172" i="1"/>
  <c r="Z382" i="1"/>
  <c r="S25" i="1"/>
  <c r="Y25" i="1" s="1"/>
  <c r="Z25" i="1" s="1"/>
  <c r="S31" i="1"/>
  <c r="Y31" i="1" s="1"/>
  <c r="U84" i="1"/>
  <c r="S113" i="1"/>
  <c r="Y113" i="1" s="1"/>
  <c r="Z113" i="1" s="1"/>
  <c r="X133" i="1"/>
  <c r="Z133" i="1" s="1"/>
  <c r="S144" i="1"/>
  <c r="Y144" i="1" s="1"/>
  <c r="U170" i="1"/>
  <c r="X315" i="1"/>
  <c r="U315" i="1"/>
  <c r="X374" i="1"/>
  <c r="U374" i="1"/>
  <c r="S317" i="1"/>
  <c r="Y317" i="1" s="1"/>
  <c r="R317" i="1"/>
  <c r="U317" i="1" s="1"/>
  <c r="O352" i="1"/>
  <c r="R409" i="1"/>
  <c r="U409" i="1" s="1"/>
  <c r="S409" i="1"/>
  <c r="Y409" i="1" s="1"/>
  <c r="S445" i="1"/>
  <c r="Y445" i="1" s="1"/>
  <c r="R445" i="1"/>
  <c r="X559" i="1"/>
  <c r="Z559" i="1" s="1"/>
  <c r="U559" i="1"/>
  <c r="S303" i="1"/>
  <c r="Y303" i="1" s="1"/>
  <c r="R303" i="1"/>
  <c r="S433" i="1"/>
  <c r="Y433" i="1" s="1"/>
  <c r="R433" i="1"/>
  <c r="X433" i="1" s="1"/>
  <c r="O433" i="1" s="1"/>
  <c r="S513" i="1"/>
  <c r="Y513" i="1" s="1"/>
  <c r="R513" i="1"/>
  <c r="U548" i="1"/>
  <c r="X548" i="1"/>
  <c r="Z609" i="1"/>
  <c r="S312" i="1"/>
  <c r="Y312" i="1" s="1"/>
  <c r="R312" i="1"/>
  <c r="R526" i="1"/>
  <c r="X526" i="1" s="1"/>
  <c r="R301" i="1"/>
  <c r="X301" i="1" s="1"/>
  <c r="S301" i="1"/>
  <c r="Y301" i="1" s="1"/>
  <c r="R403" i="1"/>
  <c r="S403" i="1"/>
  <c r="Y403" i="1" s="1"/>
  <c r="Z403" i="1" s="1"/>
  <c r="X410" i="1"/>
  <c r="U410" i="1"/>
  <c r="X503" i="1"/>
  <c r="Z503" i="1" s="1"/>
  <c r="U503" i="1"/>
  <c r="U565" i="1"/>
  <c r="X565" i="1"/>
  <c r="Z565" i="1" s="1"/>
  <c r="U698" i="1"/>
  <c r="X698" i="1"/>
  <c r="Z698" i="1" s="1"/>
  <c r="S298" i="1"/>
  <c r="Y298" i="1" s="1"/>
  <c r="R327" i="1"/>
  <c r="S555" i="1"/>
  <c r="Y555" i="1" s="1"/>
  <c r="R555" i="1"/>
  <c r="R557" i="1"/>
  <c r="X557" i="1" s="1"/>
  <c r="Z557" i="1" s="1"/>
  <c r="S557" i="1"/>
  <c r="Y557" i="1" s="1"/>
  <c r="R310" i="1"/>
  <c r="O376" i="1"/>
  <c r="R379" i="1"/>
  <c r="R400" i="1"/>
  <c r="S400" i="1"/>
  <c r="Y400" i="1" s="1"/>
  <c r="S521" i="1"/>
  <c r="Y521" i="1" s="1"/>
  <c r="R521" i="1"/>
  <c r="R549" i="1"/>
  <c r="R357" i="1"/>
  <c r="S357" i="1"/>
  <c r="Y357" i="1" s="1"/>
  <c r="R364" i="1"/>
  <c r="S364" i="1"/>
  <c r="Y364" i="1" s="1"/>
  <c r="X304" i="1"/>
  <c r="O304" i="1" s="1"/>
  <c r="R307" i="1"/>
  <c r="R316" i="1"/>
  <c r="S316" i="1"/>
  <c r="Y316" i="1" s="1"/>
  <c r="R322" i="1"/>
  <c r="X322" i="1" s="1"/>
  <c r="S336" i="1"/>
  <c r="Y336" i="1" s="1"/>
  <c r="R336" i="1"/>
  <c r="U387" i="1"/>
  <c r="S394" i="1"/>
  <c r="Y394" i="1" s="1"/>
  <c r="R394" i="1"/>
  <c r="R437" i="1"/>
  <c r="X441" i="1"/>
  <c r="O441" i="1" s="1"/>
  <c r="U441" i="1"/>
  <c r="X472" i="1"/>
  <c r="Z472" i="1" s="1"/>
  <c r="U472" i="1"/>
  <c r="Z491" i="1"/>
  <c r="U497" i="1"/>
  <c r="X628" i="1"/>
  <c r="R556" i="1"/>
  <c r="S556" i="1"/>
  <c r="Y556" i="1" s="1"/>
  <c r="R694" i="1"/>
  <c r="X694" i="1" s="1"/>
  <c r="S694" i="1"/>
  <c r="Y694" i="1" s="1"/>
  <c r="U448" i="1"/>
  <c r="X448" i="1"/>
  <c r="O448" i="1" s="1"/>
  <c r="S514" i="1"/>
  <c r="Y514" i="1" s="1"/>
  <c r="R514" i="1"/>
  <c r="X514" i="1" s="1"/>
  <c r="S682" i="1"/>
  <c r="Y682" i="1" s="1"/>
  <c r="R682" i="1"/>
  <c r="X682" i="1" s="1"/>
  <c r="X420" i="1"/>
  <c r="O420" i="1" s="1"/>
  <c r="U420" i="1"/>
  <c r="X452" i="1"/>
  <c r="O452" i="1" s="1"/>
  <c r="U452" i="1"/>
  <c r="S470" i="1"/>
  <c r="Y470" i="1" s="1"/>
  <c r="R470" i="1"/>
  <c r="R584" i="1"/>
  <c r="S584" i="1"/>
  <c r="Y584" i="1" s="1"/>
  <c r="X647" i="1"/>
  <c r="U647" i="1"/>
  <c r="R325" i="1"/>
  <c r="U325" i="1" s="1"/>
  <c r="R343" i="1"/>
  <c r="R391" i="1"/>
  <c r="U391" i="1" s="1"/>
  <c r="S391" i="1"/>
  <c r="Y391" i="1" s="1"/>
  <c r="X427" i="1"/>
  <c r="O427" i="1" s="1"/>
  <c r="U427" i="1"/>
  <c r="S452" i="1"/>
  <c r="Y452" i="1" s="1"/>
  <c r="X486" i="1"/>
  <c r="Z486" i="1" s="1"/>
  <c r="R541" i="1"/>
  <c r="X541" i="1" s="1"/>
  <c r="S541" i="1"/>
  <c r="Y541" i="1" s="1"/>
  <c r="U552" i="1"/>
  <c r="X552" i="1"/>
  <c r="U558" i="1"/>
  <c r="X558" i="1"/>
  <c r="Z558" i="1" s="1"/>
  <c r="R620" i="1"/>
  <c r="R634" i="1"/>
  <c r="U634" i="1" s="1"/>
  <c r="S647" i="1"/>
  <c r="Y647" i="1" s="1"/>
  <c r="Z647" i="1" s="1"/>
  <c r="S323" i="1"/>
  <c r="Y323" i="1" s="1"/>
  <c r="Z323" i="1" s="1"/>
  <c r="R332" i="1"/>
  <c r="X383" i="1"/>
  <c r="O383" i="1" s="1"/>
  <c r="U483" i="1"/>
  <c r="X483" i="1"/>
  <c r="S552" i="1"/>
  <c r="Y552" i="1" s="1"/>
  <c r="Z617" i="1"/>
  <c r="O387" i="1"/>
  <c r="S389" i="1"/>
  <c r="Y389" i="1" s="1"/>
  <c r="R389" i="1"/>
  <c r="X389" i="1" s="1"/>
  <c r="U509" i="1"/>
  <c r="X509" i="1"/>
  <c r="Z509" i="1" s="1"/>
  <c r="X585" i="1"/>
  <c r="U585" i="1"/>
  <c r="S589" i="1"/>
  <c r="Y589" i="1" s="1"/>
  <c r="R589" i="1"/>
  <c r="R675" i="1"/>
  <c r="S675" i="1"/>
  <c r="Y675" i="1" s="1"/>
  <c r="X294" i="1"/>
  <c r="O294" i="1" s="1"/>
  <c r="X339" i="1"/>
  <c r="O339" i="1" s="1"/>
  <c r="R395" i="1"/>
  <c r="S395" i="1"/>
  <c r="Y395" i="1" s="1"/>
  <c r="S401" i="1"/>
  <c r="Y401" i="1" s="1"/>
  <c r="R401" i="1"/>
  <c r="S477" i="1"/>
  <c r="Y477" i="1" s="1"/>
  <c r="R477" i="1"/>
  <c r="R519" i="1"/>
  <c r="X519" i="1" s="1"/>
  <c r="S585" i="1"/>
  <c r="Y585" i="1" s="1"/>
  <c r="R621" i="1"/>
  <c r="S621" i="1"/>
  <c r="Y621" i="1" s="1"/>
  <c r="Z628" i="1"/>
  <c r="S652" i="1"/>
  <c r="Y652" i="1" s="1"/>
  <c r="R652" i="1"/>
  <c r="X652" i="1" s="1"/>
  <c r="O652" i="1" s="1"/>
  <c r="S699" i="1"/>
  <c r="Y699" i="1" s="1"/>
  <c r="X501" i="1"/>
  <c r="U581" i="1"/>
  <c r="Z497" i="1"/>
  <c r="S569" i="1"/>
  <c r="Y569" i="1" s="1"/>
  <c r="Z569" i="1" s="1"/>
  <c r="S595" i="1"/>
  <c r="Y595" i="1" s="1"/>
  <c r="R630" i="1"/>
  <c r="X630" i="1" s="1"/>
  <c r="Z630" i="1" s="1"/>
  <c r="R662" i="1"/>
  <c r="R688" i="1"/>
  <c r="R697" i="1"/>
  <c r="S431" i="1"/>
  <c r="Y431" i="1" s="1"/>
  <c r="Z431" i="1" s="1"/>
  <c r="Z498" i="1"/>
  <c r="Z499" i="1"/>
  <c r="R666" i="1"/>
  <c r="U666" i="1" s="1"/>
  <c r="S402" i="1"/>
  <c r="Y402" i="1" s="1"/>
  <c r="R554" i="1"/>
  <c r="R560" i="1"/>
  <c r="R563" i="1"/>
  <c r="R602" i="1"/>
  <c r="U602" i="1" s="1"/>
  <c r="R612" i="1"/>
  <c r="X612" i="1" s="1"/>
  <c r="R667" i="1"/>
  <c r="X667" i="1" s="1"/>
  <c r="Z667" i="1" s="1"/>
  <c r="R693" i="1"/>
  <c r="R703" i="1"/>
  <c r="X703" i="1" s="1"/>
  <c r="O434" i="1"/>
  <c r="Z469" i="1"/>
  <c r="S478" i="1"/>
  <c r="Y478" i="1" s="1"/>
  <c r="U481" i="1"/>
  <c r="S500" i="1"/>
  <c r="Y500" i="1" s="1"/>
  <c r="Z500" i="1" s="1"/>
  <c r="S522" i="1"/>
  <c r="Y522" i="1" s="1"/>
  <c r="Z522" i="1" s="1"/>
  <c r="R568" i="1"/>
  <c r="R579" i="1"/>
  <c r="X579" i="1" s="1"/>
  <c r="S615" i="1"/>
  <c r="Y615" i="1" s="1"/>
  <c r="Z615" i="1" s="1"/>
  <c r="R684" i="1"/>
  <c r="X684" i="1" s="1"/>
  <c r="Z684" i="1" s="1"/>
  <c r="S706" i="1"/>
  <c r="Y706" i="1" s="1"/>
  <c r="R422" i="1"/>
  <c r="X422" i="1" s="1"/>
  <c r="U443" i="1"/>
  <c r="R591" i="1"/>
  <c r="U597" i="1"/>
  <c r="S600" i="1"/>
  <c r="Y600" i="1" s="1"/>
  <c r="S605" i="1"/>
  <c r="Y605" i="1" s="1"/>
  <c r="Z605" i="1" s="1"/>
  <c r="R608" i="1"/>
  <c r="R640" i="1"/>
  <c r="S677" i="1"/>
  <c r="Y677" i="1" s="1"/>
  <c r="R687" i="1"/>
  <c r="S689" i="1"/>
  <c r="Y689" i="1" s="1"/>
  <c r="R696" i="1"/>
  <c r="R399" i="1"/>
  <c r="R432" i="1"/>
  <c r="U432" i="1" s="1"/>
  <c r="U434" i="1"/>
  <c r="S527" i="1"/>
  <c r="Y527" i="1" s="1"/>
  <c r="Z527" i="1" s="1"/>
  <c r="R542" i="1"/>
  <c r="R545" i="1"/>
  <c r="R553" i="1"/>
  <c r="R574" i="1"/>
  <c r="U605" i="1"/>
  <c r="R416" i="1"/>
  <c r="R566" i="1"/>
  <c r="R577" i="1"/>
  <c r="U577" i="1" s="1"/>
  <c r="R603" i="1"/>
  <c r="S635" i="1"/>
  <c r="Y635" i="1" s="1"/>
  <c r="Z635" i="1" s="1"/>
  <c r="R671" i="1"/>
  <c r="R704" i="1"/>
  <c r="U23" i="1"/>
  <c r="X23" i="1"/>
  <c r="X224" i="1"/>
  <c r="U224" i="1"/>
  <c r="X279" i="1"/>
  <c r="O279" i="1" s="1"/>
  <c r="U279" i="1"/>
  <c r="S196" i="1"/>
  <c r="Y196" i="1" s="1"/>
  <c r="X633" i="1"/>
  <c r="U633" i="1"/>
  <c r="X61" i="1"/>
  <c r="O61" i="1" s="1"/>
  <c r="U61" i="1"/>
  <c r="R188" i="1"/>
  <c r="S188" i="1"/>
  <c r="Y188" i="1" s="1"/>
  <c r="X11" i="1"/>
  <c r="X53" i="1"/>
  <c r="R287" i="1"/>
  <c r="S287" i="1"/>
  <c r="Y287" i="1" s="1"/>
  <c r="R38" i="1"/>
  <c r="S51" i="1"/>
  <c r="Y51" i="1" s="1"/>
  <c r="R51" i="1"/>
  <c r="U59" i="1"/>
  <c r="X59" i="1"/>
  <c r="R65" i="1"/>
  <c r="R168" i="1"/>
  <c r="R87" i="1"/>
  <c r="R24" i="1"/>
  <c r="S24" i="1"/>
  <c r="Y24" i="1" s="1"/>
  <c r="R490" i="1"/>
  <c r="S490" i="1"/>
  <c r="Y490" i="1" s="1"/>
  <c r="S14" i="1"/>
  <c r="Y14" i="1" s="1"/>
  <c r="R14" i="1"/>
  <c r="X41" i="1"/>
  <c r="R45" i="1"/>
  <c r="S45" i="1"/>
  <c r="Y45" i="1" s="1"/>
  <c r="X52" i="1"/>
  <c r="O52" i="1" s="1"/>
  <c r="U52" i="1"/>
  <c r="S62" i="1"/>
  <c r="Y62" i="1" s="1"/>
  <c r="R62" i="1"/>
  <c r="X85" i="1"/>
  <c r="X146" i="1"/>
  <c r="U146" i="1"/>
  <c r="R182" i="1"/>
  <c r="S279" i="1"/>
  <c r="Y279" i="1" s="1"/>
  <c r="S93" i="1"/>
  <c r="Y93" i="1" s="1"/>
  <c r="R93" i="1"/>
  <c r="S105" i="1"/>
  <c r="Y105" i="1" s="1"/>
  <c r="R105" i="1"/>
  <c r="X273" i="1"/>
  <c r="U273" i="1"/>
  <c r="U5" i="1"/>
  <c r="U100" i="1"/>
  <c r="R110" i="1"/>
  <c r="U112" i="1"/>
  <c r="X137" i="1"/>
  <c r="U137" i="1"/>
  <c r="R212" i="1"/>
  <c r="S212" i="1"/>
  <c r="Y212" i="1" s="1"/>
  <c r="X55" i="1"/>
  <c r="O55" i="1" s="1"/>
  <c r="U55" i="1"/>
  <c r="R184" i="1"/>
  <c r="S184" i="1"/>
  <c r="Y184" i="1" s="1"/>
  <c r="S194" i="1"/>
  <c r="Y194" i="1" s="1"/>
  <c r="R194" i="1"/>
  <c r="S204" i="1"/>
  <c r="Y204" i="1" s="1"/>
  <c r="R204" i="1"/>
  <c r="U206" i="1"/>
  <c r="X206" i="1"/>
  <c r="Z206" i="1" s="1"/>
  <c r="R210" i="1"/>
  <c r="X217" i="1"/>
  <c r="O217" i="1" s="1"/>
  <c r="U217" i="1"/>
  <c r="S454" i="1"/>
  <c r="Y454" i="1" s="1"/>
  <c r="R454" i="1"/>
  <c r="X39" i="1"/>
  <c r="U39" i="1"/>
  <c r="R72" i="1"/>
  <c r="S72" i="1"/>
  <c r="Y72" i="1" s="1"/>
  <c r="Z78" i="1"/>
  <c r="X83" i="1"/>
  <c r="Z83" i="1" s="1"/>
  <c r="U83" i="1"/>
  <c r="R96" i="1"/>
  <c r="S96" i="1"/>
  <c r="Y96" i="1" s="1"/>
  <c r="X118" i="1"/>
  <c r="O118" i="1" s="1"/>
  <c r="U118" i="1"/>
  <c r="R135" i="1"/>
  <c r="X169" i="1"/>
  <c r="U361" i="1"/>
  <c r="X361" i="1"/>
  <c r="O361" i="1" s="1"/>
  <c r="R366" i="1"/>
  <c r="U378" i="1"/>
  <c r="X378" i="1"/>
  <c r="S485" i="1"/>
  <c r="Y485" i="1" s="1"/>
  <c r="R485" i="1"/>
  <c r="Z12" i="1"/>
  <c r="O25" i="1"/>
  <c r="R27" i="1"/>
  <c r="S27" i="1"/>
  <c r="Y27" i="1" s="1"/>
  <c r="X111" i="1"/>
  <c r="U111" i="1"/>
  <c r="S131" i="1"/>
  <c r="Y131" i="1" s="1"/>
  <c r="R131" i="1"/>
  <c r="X144" i="1"/>
  <c r="U144" i="1"/>
  <c r="S173" i="1"/>
  <c r="Y173" i="1" s="1"/>
  <c r="R173" i="1"/>
  <c r="U192" i="1"/>
  <c r="X192" i="1"/>
  <c r="R263" i="1"/>
  <c r="R308" i="1"/>
  <c r="S405" i="1"/>
  <c r="Y405" i="1" s="1"/>
  <c r="R405" i="1"/>
  <c r="X513" i="1"/>
  <c r="U513" i="1"/>
  <c r="Z52" i="1"/>
  <c r="X79" i="1"/>
  <c r="O79" i="1" s="1"/>
  <c r="U79" i="1"/>
  <c r="Z144" i="1"/>
  <c r="S99" i="1"/>
  <c r="Y99" i="1" s="1"/>
  <c r="R99" i="1"/>
  <c r="X152" i="1"/>
  <c r="O152" i="1" s="1"/>
  <c r="U152" i="1"/>
  <c r="R275" i="1"/>
  <c r="S275" i="1"/>
  <c r="Y275" i="1" s="1"/>
  <c r="S471" i="1"/>
  <c r="Y471" i="1" s="1"/>
  <c r="R471" i="1"/>
  <c r="X43" i="1"/>
  <c r="O43" i="1" s="1"/>
  <c r="U43" i="1"/>
  <c r="Z75" i="1"/>
  <c r="S86" i="1"/>
  <c r="Y86" i="1" s="1"/>
  <c r="R86" i="1"/>
  <c r="S148" i="1"/>
  <c r="Y148" i="1" s="1"/>
  <c r="Z148" i="1" s="1"/>
  <c r="S154" i="1"/>
  <c r="Y154" i="1" s="1"/>
  <c r="R154" i="1"/>
  <c r="U218" i="1"/>
  <c r="S253" i="1"/>
  <c r="Y253" i="1" s="1"/>
  <c r="R253" i="1"/>
  <c r="S333" i="1"/>
  <c r="Y333" i="1" s="1"/>
  <c r="R333" i="1"/>
  <c r="U103" i="1"/>
  <c r="X103" i="1"/>
  <c r="O103" i="1" s="1"/>
  <c r="X107" i="1"/>
  <c r="O107" i="1" s="1"/>
  <c r="U107" i="1"/>
  <c r="X159" i="1"/>
  <c r="U159" i="1"/>
  <c r="X196" i="1"/>
  <c r="U196" i="1"/>
  <c r="R388" i="1"/>
  <c r="S388" i="1"/>
  <c r="Y388" i="1" s="1"/>
  <c r="S587" i="1"/>
  <c r="Y587" i="1" s="1"/>
  <c r="R587" i="1"/>
  <c r="R69" i="1"/>
  <c r="S69" i="1"/>
  <c r="Y69" i="1" s="1"/>
  <c r="R95" i="1"/>
  <c r="R145" i="1"/>
  <c r="S181" i="1"/>
  <c r="Y181" i="1" s="1"/>
  <c r="R181" i="1"/>
  <c r="S137" i="1"/>
  <c r="Y137" i="1" s="1"/>
  <c r="U162" i="1"/>
  <c r="X162" i="1"/>
  <c r="X267" i="1"/>
  <c r="U267" i="1"/>
  <c r="X37" i="1"/>
  <c r="U37" i="1"/>
  <c r="S158" i="1"/>
  <c r="Y158" i="1" s="1"/>
  <c r="R158" i="1"/>
  <c r="O167" i="1"/>
  <c r="X195" i="1"/>
  <c r="Z195" i="1" s="1"/>
  <c r="X245" i="1"/>
  <c r="O245" i="1" s="1"/>
  <c r="U245" i="1"/>
  <c r="U255" i="1"/>
  <c r="X255" i="1"/>
  <c r="Z255" i="1" s="1"/>
  <c r="U12" i="1"/>
  <c r="R50" i="1"/>
  <c r="O97" i="1"/>
  <c r="U101" i="1"/>
  <c r="X101" i="1"/>
  <c r="R125" i="1"/>
  <c r="X17" i="1"/>
  <c r="U17" i="1"/>
  <c r="R21" i="1"/>
  <c r="S21" i="1"/>
  <c r="Y21" i="1" s="1"/>
  <c r="X31" i="1"/>
  <c r="U31" i="1"/>
  <c r="R33" i="1"/>
  <c r="S33" i="1"/>
  <c r="Y33" i="1" s="1"/>
  <c r="R35" i="1"/>
  <c r="U75" i="1"/>
  <c r="Z97" i="1"/>
  <c r="X109" i="1"/>
  <c r="O109" i="1" s="1"/>
  <c r="U109" i="1"/>
  <c r="R123" i="1"/>
  <c r="U148" i="1"/>
  <c r="S161" i="1"/>
  <c r="Y161" i="1" s="1"/>
  <c r="R161" i="1"/>
  <c r="O170" i="1"/>
  <c r="R176" i="1"/>
  <c r="R180" i="1"/>
  <c r="U71" i="1"/>
  <c r="X71" i="1"/>
  <c r="U97" i="1"/>
  <c r="S132" i="1"/>
  <c r="Y132" i="1" s="1"/>
  <c r="R132" i="1"/>
  <c r="U163" i="1"/>
  <c r="U183" i="1"/>
  <c r="R190" i="1"/>
  <c r="S190" i="1"/>
  <c r="Y190" i="1" s="1"/>
  <c r="R220" i="1"/>
  <c r="S220" i="1"/>
  <c r="Y220" i="1" s="1"/>
  <c r="R230" i="1"/>
  <c r="S237" i="1"/>
  <c r="Y237" i="1" s="1"/>
  <c r="R237" i="1"/>
  <c r="X261" i="1"/>
  <c r="O261" i="1" s="1"/>
  <c r="U261" i="1"/>
  <c r="S397" i="1"/>
  <c r="Y397" i="1" s="1"/>
  <c r="R397" i="1"/>
  <c r="N11" i="1"/>
  <c r="N59" i="1"/>
  <c r="Z109" i="1"/>
  <c r="N149" i="1"/>
  <c r="O149" i="1" s="1"/>
  <c r="N160" i="1"/>
  <c r="O160" i="1" s="1"/>
  <c r="N211" i="1"/>
  <c r="Z217" i="1"/>
  <c r="N223" i="1"/>
  <c r="N227" i="1"/>
  <c r="N236" i="1"/>
  <c r="U240" i="1"/>
  <c r="S251" i="1"/>
  <c r="Y251" i="1" s="1"/>
  <c r="R251" i="1"/>
  <c r="Z273" i="1"/>
  <c r="S277" i="1"/>
  <c r="Y277" i="1" s="1"/>
  <c r="R277" i="1"/>
  <c r="R329" i="1"/>
  <c r="S362" i="1"/>
  <c r="Y362" i="1" s="1"/>
  <c r="R362" i="1"/>
  <c r="R371" i="1"/>
  <c r="S371" i="1"/>
  <c r="Y371" i="1" s="1"/>
  <c r="S417" i="1"/>
  <c r="Y417" i="1" s="1"/>
  <c r="R417" i="1"/>
  <c r="U462" i="1"/>
  <c r="X462" i="1"/>
  <c r="N483" i="1"/>
  <c r="U514" i="1"/>
  <c r="N9" i="1"/>
  <c r="N44" i="1"/>
  <c r="R57" i="1"/>
  <c r="S57" i="1"/>
  <c r="Y57" i="1" s="1"/>
  <c r="N69" i="1"/>
  <c r="R89" i="1"/>
  <c r="Z120" i="1"/>
  <c r="R130" i="1"/>
  <c r="Z167" i="1"/>
  <c r="N183" i="1"/>
  <c r="N195" i="1"/>
  <c r="X201" i="1"/>
  <c r="O201" i="1" s="1"/>
  <c r="U201" i="1"/>
  <c r="R203" i="1"/>
  <c r="S215" i="1"/>
  <c r="Y215" i="1" s="1"/>
  <c r="R215" i="1"/>
  <c r="N225" i="1"/>
  <c r="N231" i="1"/>
  <c r="S238" i="1"/>
  <c r="Y238" i="1" s="1"/>
  <c r="R238" i="1"/>
  <c r="N254" i="1"/>
  <c r="N286" i="1"/>
  <c r="O286" i="1" s="1"/>
  <c r="R356" i="1"/>
  <c r="X403" i="1"/>
  <c r="O403" i="1" s="1"/>
  <c r="U403" i="1"/>
  <c r="R439" i="1"/>
  <c r="N470" i="1"/>
  <c r="N501" i="1"/>
  <c r="X545" i="1"/>
  <c r="Z545" i="1" s="1"/>
  <c r="U545" i="1"/>
  <c r="S390" i="1"/>
  <c r="Y390" i="1" s="1"/>
  <c r="R390" i="1"/>
  <c r="S393" i="1"/>
  <c r="Y393" i="1" s="1"/>
  <c r="R393" i="1"/>
  <c r="O463" i="1"/>
  <c r="O7" i="1"/>
  <c r="N76" i="1"/>
  <c r="Z7" i="1"/>
  <c r="N24" i="1"/>
  <c r="R47" i="1"/>
  <c r="N54" i="1"/>
  <c r="U67" i="1"/>
  <c r="X67" i="1"/>
  <c r="Z90" i="1"/>
  <c r="N96" i="1"/>
  <c r="S122" i="1"/>
  <c r="Y122" i="1" s="1"/>
  <c r="R122" i="1"/>
  <c r="R165" i="1"/>
  <c r="N6" i="1"/>
  <c r="O6" i="1" s="1"/>
  <c r="U7" i="1"/>
  <c r="R9" i="1"/>
  <c r="S9" i="1"/>
  <c r="Y9" i="1" s="1"/>
  <c r="S16" i="1"/>
  <c r="Y16" i="1" s="1"/>
  <c r="Z16" i="1" s="1"/>
  <c r="N71" i="1"/>
  <c r="R74" i="1"/>
  <c r="S84" i="1"/>
  <c r="Y84" i="1" s="1"/>
  <c r="Z84" i="1" s="1"/>
  <c r="N88" i="1"/>
  <c r="O102" i="1"/>
  <c r="U120" i="1"/>
  <c r="R142" i="1"/>
  <c r="N153" i="1"/>
  <c r="S160" i="1"/>
  <c r="Y160" i="1" s="1"/>
  <c r="Z160" i="1" s="1"/>
  <c r="R197" i="1"/>
  <c r="X199" i="1"/>
  <c r="U199" i="1"/>
  <c r="X211" i="1"/>
  <c r="U211" i="1"/>
  <c r="N221" i="1"/>
  <c r="X223" i="1"/>
  <c r="U223" i="1"/>
  <c r="S225" i="1"/>
  <c r="Y225" i="1" s="1"/>
  <c r="R225" i="1"/>
  <c r="R227" i="1"/>
  <c r="X242" i="1"/>
  <c r="N246" i="1"/>
  <c r="O246" i="1" s="1"/>
  <c r="N284" i="1"/>
  <c r="R299" i="1"/>
  <c r="S299" i="1"/>
  <c r="Y299" i="1" s="1"/>
  <c r="S349" i="1"/>
  <c r="Y349" i="1" s="1"/>
  <c r="R349" i="1"/>
  <c r="S297" i="1"/>
  <c r="Y297" i="1" s="1"/>
  <c r="R297" i="1"/>
  <c r="O323" i="1"/>
  <c r="R421" i="1"/>
  <c r="S421" i="1"/>
  <c r="Y421" i="1" s="1"/>
  <c r="U461" i="1"/>
  <c r="X461" i="1"/>
  <c r="N468" i="1"/>
  <c r="R476" i="1"/>
  <c r="S476" i="1"/>
  <c r="Y476" i="1" s="1"/>
  <c r="N498" i="1"/>
  <c r="N510" i="1"/>
  <c r="N520" i="1"/>
  <c r="R534" i="1"/>
  <c r="S534" i="1"/>
  <c r="Y534" i="1" s="1"/>
  <c r="N695" i="1"/>
  <c r="N705" i="1"/>
  <c r="N693" i="1"/>
  <c r="N684" i="1"/>
  <c r="O684" i="1" s="1"/>
  <c r="N674" i="1"/>
  <c r="N706" i="1"/>
  <c r="N694" i="1"/>
  <c r="O694" i="1" s="1"/>
  <c r="N685" i="1"/>
  <c r="N675" i="1"/>
  <c r="N691" i="1"/>
  <c r="N700" i="1"/>
  <c r="N651" i="1"/>
  <c r="N654" i="1"/>
  <c r="N702" i="1"/>
  <c r="N655" i="1"/>
  <c r="N681" i="1"/>
  <c r="N643" i="1"/>
  <c r="N606" i="1"/>
  <c r="N631" i="1"/>
  <c r="N701" i="1"/>
  <c r="N660" i="1"/>
  <c r="N659" i="1"/>
  <c r="N648" i="1"/>
  <c r="N646" i="1"/>
  <c r="O646" i="1" s="1"/>
  <c r="N638" i="1"/>
  <c r="N641" i="1"/>
  <c r="N628" i="1"/>
  <c r="N640" i="1"/>
  <c r="N625" i="1"/>
  <c r="N637" i="1"/>
  <c r="N639" i="1"/>
  <c r="N612" i="1"/>
  <c r="N596" i="1"/>
  <c r="N594" i="1"/>
  <c r="N621" i="1"/>
  <c r="N615" i="1"/>
  <c r="O615" i="1" s="1"/>
  <c r="N609" i="1"/>
  <c r="O609" i="1" s="1"/>
  <c r="N595" i="1"/>
  <c r="N569" i="1"/>
  <c r="O569" i="1" s="1"/>
  <c r="N626" i="1"/>
  <c r="N589" i="1"/>
  <c r="N600" i="1"/>
  <c r="N581" i="1"/>
  <c r="O581" i="1" s="1"/>
  <c r="N673" i="1"/>
  <c r="N624" i="1"/>
  <c r="N617" i="1"/>
  <c r="O617" i="1" s="1"/>
  <c r="N611" i="1"/>
  <c r="N623" i="1"/>
  <c r="N575" i="1"/>
  <c r="O575" i="1" s="1"/>
  <c r="N605" i="1"/>
  <c r="O605" i="1" s="1"/>
  <c r="N627" i="1"/>
  <c r="N584" i="1"/>
  <c r="N564" i="1"/>
  <c r="N590" i="1"/>
  <c r="N578" i="1"/>
  <c r="N591" i="1"/>
  <c r="N563" i="1"/>
  <c r="N568" i="1"/>
  <c r="N558" i="1"/>
  <c r="N547" i="1"/>
  <c r="N530" i="1"/>
  <c r="N523" i="1"/>
  <c r="N515" i="1"/>
  <c r="N503" i="1"/>
  <c r="N500" i="1"/>
  <c r="O500" i="1" s="1"/>
  <c r="N495" i="1"/>
  <c r="N562" i="1"/>
  <c r="N559" i="1"/>
  <c r="N565" i="1"/>
  <c r="N549" i="1"/>
  <c r="N539" i="1"/>
  <c r="N532" i="1"/>
  <c r="N504" i="1"/>
  <c r="N546" i="1"/>
  <c r="O546" i="1" s="1"/>
  <c r="N536" i="1"/>
  <c r="N506" i="1"/>
  <c r="N541" i="1"/>
  <c r="N535" i="1"/>
  <c r="N473" i="1"/>
  <c r="N553" i="1"/>
  <c r="N505" i="1"/>
  <c r="N529" i="1"/>
  <c r="N469" i="1"/>
  <c r="N484" i="1"/>
  <c r="N579" i="1"/>
  <c r="N497" i="1"/>
  <c r="O497" i="1" s="1"/>
  <c r="N491" i="1"/>
  <c r="N502" i="1"/>
  <c r="N494" i="1"/>
  <c r="O494" i="1" s="1"/>
  <c r="N474" i="1"/>
  <c r="O474" i="1" s="1"/>
  <c r="N465" i="1"/>
  <c r="N576" i="1"/>
  <c r="N508" i="1"/>
  <c r="N462" i="1"/>
  <c r="N285" i="1"/>
  <c r="O285" i="1" s="1"/>
  <c r="N275" i="1"/>
  <c r="N262" i="1"/>
  <c r="N256" i="1"/>
  <c r="N248" i="1"/>
  <c r="O248" i="1" s="1"/>
  <c r="N234" i="1"/>
  <c r="O234" i="1" s="1"/>
  <c r="N226" i="1"/>
  <c r="O226" i="1" s="1"/>
  <c r="N220" i="1"/>
  <c r="N212" i="1"/>
  <c r="N198" i="1"/>
  <c r="O198" i="1" s="1"/>
  <c r="N190" i="1"/>
  <c r="N184" i="1"/>
  <c r="N176" i="1"/>
  <c r="N162" i="1"/>
  <c r="N154" i="1"/>
  <c r="N148" i="1"/>
  <c r="O148" i="1" s="1"/>
  <c r="N136" i="1"/>
  <c r="O136" i="1" s="1"/>
  <c r="N124" i="1"/>
  <c r="N16" i="1"/>
  <c r="O16" i="1" s="1"/>
  <c r="N516" i="1"/>
  <c r="N511" i="1"/>
  <c r="N486" i="1"/>
  <c r="N264" i="1"/>
  <c r="N156" i="1"/>
  <c r="N518" i="1"/>
  <c r="N461" i="1"/>
  <c r="N228" i="1"/>
  <c r="N192" i="1"/>
  <c r="N180" i="1"/>
  <c r="N111" i="1"/>
  <c r="N99" i="1"/>
  <c r="N87" i="1"/>
  <c r="N75" i="1"/>
  <c r="O75" i="1" s="1"/>
  <c r="N63" i="1"/>
  <c r="N51" i="1"/>
  <c r="N39" i="1"/>
  <c r="N27" i="1"/>
  <c r="N260" i="1"/>
  <c r="N210" i="1"/>
  <c r="N481" i="1"/>
  <c r="O481" i="1" s="1"/>
  <c r="N476" i="1"/>
  <c r="N270" i="1"/>
  <c r="O270" i="1" s="1"/>
  <c r="N252" i="1"/>
  <c r="N196" i="1"/>
  <c r="N513" i="1"/>
  <c r="N464" i="1"/>
  <c r="N278" i="1"/>
  <c r="N255" i="1"/>
  <c r="N240" i="1"/>
  <c r="N273" i="1"/>
  <c r="N522" i="1"/>
  <c r="O522" i="1" s="1"/>
  <c r="N480" i="1"/>
  <c r="N28" i="1"/>
  <c r="N83" i="1"/>
  <c r="N100" i="1"/>
  <c r="O100" i="1" s="1"/>
  <c r="N121" i="1"/>
  <c r="O121" i="1" s="1"/>
  <c r="N133" i="1"/>
  <c r="N141" i="1"/>
  <c r="S151" i="1"/>
  <c r="Y151" i="1" s="1"/>
  <c r="R151" i="1"/>
  <c r="N155" i="1"/>
  <c r="N166" i="1"/>
  <c r="O166" i="1" s="1"/>
  <c r="N171" i="1"/>
  <c r="O171" i="1" s="1"/>
  <c r="O177" i="1"/>
  <c r="N187" i="1"/>
  <c r="N191" i="1"/>
  <c r="N216" i="1"/>
  <c r="N235" i="1"/>
  <c r="N258" i="1"/>
  <c r="R260" i="1"/>
  <c r="R262" i="1"/>
  <c r="S262" i="1"/>
  <c r="Y262" i="1" s="1"/>
  <c r="N272" i="1"/>
  <c r="R274" i="1"/>
  <c r="Z288" i="1"/>
  <c r="R314" i="1"/>
  <c r="Z456" i="1"/>
  <c r="N15" i="1"/>
  <c r="N18" i="1"/>
  <c r="N21" i="1"/>
  <c r="N48" i="1"/>
  <c r="Z64" i="1"/>
  <c r="N68" i="1"/>
  <c r="N78" i="1"/>
  <c r="R81" i="1"/>
  <c r="S81" i="1"/>
  <c r="Y81" i="1" s="1"/>
  <c r="X91" i="1"/>
  <c r="U91" i="1"/>
  <c r="N93" i="1"/>
  <c r="S191" i="1"/>
  <c r="Y191" i="1" s="1"/>
  <c r="R191" i="1"/>
  <c r="N202" i="1"/>
  <c r="O202" i="1" s="1"/>
  <c r="N206" i="1"/>
  <c r="R233" i="1"/>
  <c r="O244" i="1"/>
  <c r="Z246" i="1"/>
  <c r="S248" i="1"/>
  <c r="Y248" i="1" s="1"/>
  <c r="Z248" i="1" s="1"/>
  <c r="O254" i="1"/>
  <c r="U264" i="1"/>
  <c r="X264" i="1"/>
  <c r="R266" i="1"/>
  <c r="R268" i="1"/>
  <c r="S268" i="1"/>
  <c r="Y268" i="1" s="1"/>
  <c r="S272" i="1"/>
  <c r="Y272" i="1" s="1"/>
  <c r="R272" i="1"/>
  <c r="R284" i="1"/>
  <c r="U288" i="1"/>
  <c r="S337" i="1"/>
  <c r="Y337" i="1" s="1"/>
  <c r="R337" i="1"/>
  <c r="X424" i="1"/>
  <c r="O424" i="1" s="1"/>
  <c r="U424" i="1"/>
  <c r="X26" i="1"/>
  <c r="O26" i="1" s="1"/>
  <c r="X98" i="1"/>
  <c r="U98" i="1"/>
  <c r="N116" i="1"/>
  <c r="N123" i="1"/>
  <c r="S129" i="1"/>
  <c r="Y129" i="1" s="1"/>
  <c r="R129" i="1"/>
  <c r="Z136" i="1"/>
  <c r="R141" i="1"/>
  <c r="S141" i="1"/>
  <c r="Y141" i="1" s="1"/>
  <c r="N143" i="1"/>
  <c r="N145" i="1"/>
  <c r="O155" i="1"/>
  <c r="N159" i="1"/>
  <c r="N161" i="1"/>
  <c r="N168" i="1"/>
  <c r="S187" i="1"/>
  <c r="Y187" i="1" s="1"/>
  <c r="R187" i="1"/>
  <c r="N200" i="1"/>
  <c r="N204" i="1"/>
  <c r="N214" i="1"/>
  <c r="U216" i="1"/>
  <c r="Z218" i="1"/>
  <c r="N224" i="1"/>
  <c r="N237" i="1"/>
  <c r="R241" i="1"/>
  <c r="S241" i="1"/>
  <c r="Y241" i="1" s="1"/>
  <c r="N243" i="1"/>
  <c r="S252" i="1"/>
  <c r="Y252" i="1" s="1"/>
  <c r="R252" i="1"/>
  <c r="U278" i="1"/>
  <c r="X278" i="1"/>
  <c r="O280" i="1"/>
  <c r="R335" i="1"/>
  <c r="S335" i="1"/>
  <c r="Y335" i="1" s="1"/>
  <c r="O363" i="1"/>
  <c r="Z363" i="1"/>
  <c r="S429" i="1"/>
  <c r="Y429" i="1" s="1"/>
  <c r="R429" i="1"/>
  <c r="N479" i="1"/>
  <c r="S484" i="1"/>
  <c r="Y484" i="1" s="1"/>
  <c r="R484" i="1"/>
  <c r="S528" i="1"/>
  <c r="Y528" i="1" s="1"/>
  <c r="R528" i="1"/>
  <c r="R347" i="1"/>
  <c r="S347" i="1"/>
  <c r="Y347" i="1" s="1"/>
  <c r="X409" i="1"/>
  <c r="O409" i="1" s="1"/>
  <c r="N478" i="1"/>
  <c r="N126" i="1"/>
  <c r="R179" i="1"/>
  <c r="S179" i="1"/>
  <c r="Y179" i="1" s="1"/>
  <c r="N5" i="1"/>
  <c r="O5" i="1" s="1"/>
  <c r="N17" i="1"/>
  <c r="N138" i="1"/>
  <c r="R143" i="1"/>
  <c r="N157" i="1"/>
  <c r="R175" i="1"/>
  <c r="O185" i="1"/>
  <c r="N199" i="1"/>
  <c r="X235" i="1"/>
  <c r="U235" i="1"/>
  <c r="R256" i="1"/>
  <c r="S256" i="1"/>
  <c r="Y256" i="1" s="1"/>
  <c r="R259" i="1"/>
  <c r="S309" i="1"/>
  <c r="Y309" i="1" s="1"/>
  <c r="R309" i="1"/>
  <c r="R407" i="1"/>
  <c r="S407" i="1"/>
  <c r="Y407" i="1" s="1"/>
  <c r="S480" i="1"/>
  <c r="Y480" i="1" s="1"/>
  <c r="R480" i="1"/>
  <c r="N524" i="1"/>
  <c r="N229" i="1"/>
  <c r="R10" i="1"/>
  <c r="R13" i="1"/>
  <c r="R134" i="1"/>
  <c r="N181" i="1"/>
  <c r="R209" i="1"/>
  <c r="R247" i="1"/>
  <c r="R22" i="1"/>
  <c r="N29" i="1"/>
  <c r="R34" i="1"/>
  <c r="N41" i="1"/>
  <c r="R46" i="1"/>
  <c r="N53" i="1"/>
  <c r="R58" i="1"/>
  <c r="N65" i="1"/>
  <c r="R70" i="1"/>
  <c r="N77" i="1"/>
  <c r="R82" i="1"/>
  <c r="N89" i="1"/>
  <c r="R94" i="1"/>
  <c r="N101" i="1"/>
  <c r="R106" i="1"/>
  <c r="N113" i="1"/>
  <c r="O113" i="1" s="1"/>
  <c r="N193" i="1"/>
  <c r="S205" i="1"/>
  <c r="Y205" i="1" s="1"/>
  <c r="Z205" i="1" s="1"/>
  <c r="S226" i="1"/>
  <c r="Y226" i="1" s="1"/>
  <c r="Z226" i="1" s="1"/>
  <c r="S232" i="1"/>
  <c r="Y232" i="1" s="1"/>
  <c r="Z289" i="1"/>
  <c r="N490" i="1"/>
  <c r="S324" i="1"/>
  <c r="Y324" i="1" s="1"/>
  <c r="R324" i="1"/>
  <c r="S444" i="1"/>
  <c r="Y444" i="1" s="1"/>
  <c r="R444" i="1"/>
  <c r="R466" i="1"/>
  <c r="S466" i="1"/>
  <c r="Y466" i="1" s="1"/>
  <c r="X529" i="1"/>
  <c r="U529" i="1"/>
  <c r="N543" i="1"/>
  <c r="N550" i="1"/>
  <c r="S283" i="1"/>
  <c r="Y283" i="1" s="1"/>
  <c r="R283" i="1"/>
  <c r="X298" i="1"/>
  <c r="U298" i="1"/>
  <c r="R330" i="1"/>
  <c r="X351" i="1"/>
  <c r="U351" i="1"/>
  <c r="S423" i="1"/>
  <c r="Y423" i="1" s="1"/>
  <c r="R423" i="1"/>
  <c r="R459" i="1"/>
  <c r="N525" i="1"/>
  <c r="N213" i="1"/>
  <c r="S117" i="1"/>
  <c r="Y117" i="1" s="1"/>
  <c r="R117" i="1"/>
  <c r="N203" i="1"/>
  <c r="N218" i="1"/>
  <c r="O218" i="1" s="1"/>
  <c r="U231" i="1"/>
  <c r="X231" i="1"/>
  <c r="S234" i="1"/>
  <c r="Y234" i="1" s="1"/>
  <c r="Z234" i="1" s="1"/>
  <c r="N242" i="1"/>
  <c r="N263" i="1"/>
  <c r="N274" i="1"/>
  <c r="S280" i="1"/>
  <c r="Y280" i="1" s="1"/>
  <c r="Z280" i="1" s="1"/>
  <c r="S296" i="1"/>
  <c r="Y296" i="1" s="1"/>
  <c r="R296" i="1"/>
  <c r="R547" i="1"/>
  <c r="S321" i="1"/>
  <c r="Y321" i="1" s="1"/>
  <c r="R321" i="1"/>
  <c r="X358" i="1"/>
  <c r="O358" i="1" s="1"/>
  <c r="U358" i="1"/>
  <c r="U411" i="1"/>
  <c r="X411" i="1"/>
  <c r="N492" i="1"/>
  <c r="R8" i="1"/>
  <c r="R20" i="1"/>
  <c r="R32" i="1"/>
  <c r="R44" i="1"/>
  <c r="R56" i="1"/>
  <c r="R68" i="1"/>
  <c r="R80" i="1"/>
  <c r="R92" i="1"/>
  <c r="R104" i="1"/>
  <c r="R116" i="1"/>
  <c r="R128" i="1"/>
  <c r="R140" i="1"/>
  <c r="R150" i="1"/>
  <c r="R157" i="1"/>
  <c r="R164" i="1"/>
  <c r="S172" i="1"/>
  <c r="Y172" i="1" s="1"/>
  <c r="Z172" i="1" s="1"/>
  <c r="R178" i="1"/>
  <c r="R186" i="1"/>
  <c r="R193" i="1"/>
  <c r="R200" i="1"/>
  <c r="S208" i="1"/>
  <c r="Y208" i="1" s="1"/>
  <c r="Z208" i="1" s="1"/>
  <c r="R214" i="1"/>
  <c r="R222" i="1"/>
  <c r="R229" i="1"/>
  <c r="R236" i="1"/>
  <c r="S244" i="1"/>
  <c r="Y244" i="1" s="1"/>
  <c r="Z244" i="1" s="1"/>
  <c r="R250" i="1"/>
  <c r="R258" i="1"/>
  <c r="R265" i="1"/>
  <c r="S282" i="1"/>
  <c r="Y282" i="1" s="1"/>
  <c r="R306" i="1"/>
  <c r="S311" i="1"/>
  <c r="Y311" i="1" s="1"/>
  <c r="Z311" i="1" s="1"/>
  <c r="R341" i="1"/>
  <c r="O389" i="1"/>
  <c r="X391" i="1"/>
  <c r="R426" i="1"/>
  <c r="R455" i="1"/>
  <c r="S468" i="1"/>
  <c r="Y468" i="1" s="1"/>
  <c r="N493" i="1"/>
  <c r="N281" i="1"/>
  <c r="Z328" i="1"/>
  <c r="U468" i="1"/>
  <c r="X468" i="1"/>
  <c r="R488" i="1"/>
  <c r="S488" i="1"/>
  <c r="Y488" i="1" s="1"/>
  <c r="U502" i="1"/>
  <c r="X502" i="1"/>
  <c r="Z502" i="1" s="1"/>
  <c r="S520" i="1"/>
  <c r="Y520" i="1" s="1"/>
  <c r="R520" i="1"/>
  <c r="N169" i="1"/>
  <c r="N205" i="1"/>
  <c r="O205" i="1" s="1"/>
  <c r="N241" i="1"/>
  <c r="S345" i="1"/>
  <c r="Y345" i="1" s="1"/>
  <c r="R345" i="1"/>
  <c r="X375" i="1"/>
  <c r="R377" i="1"/>
  <c r="S404" i="1"/>
  <c r="Y404" i="1" s="1"/>
  <c r="R404" i="1"/>
  <c r="X406" i="1"/>
  <c r="O406" i="1" s="1"/>
  <c r="U406" i="1"/>
  <c r="R408" i="1"/>
  <c r="U449" i="1"/>
  <c r="R453" i="1"/>
  <c r="R493" i="1"/>
  <c r="S493" i="1"/>
  <c r="Y493" i="1" s="1"/>
  <c r="X516" i="1"/>
  <c r="U516" i="1"/>
  <c r="S518" i="1"/>
  <c r="Y518" i="1" s="1"/>
  <c r="R518" i="1"/>
  <c r="N540" i="1"/>
  <c r="X291" i="1"/>
  <c r="U291" i="1"/>
  <c r="S320" i="1"/>
  <c r="Y320" i="1" s="1"/>
  <c r="R320" i="1"/>
  <c r="S386" i="1"/>
  <c r="Y386" i="1" s="1"/>
  <c r="R386" i="1"/>
  <c r="R446" i="1"/>
  <c r="S446" i="1"/>
  <c r="Y446" i="1" s="1"/>
  <c r="N489" i="1"/>
  <c r="S355" i="1"/>
  <c r="Y355" i="1" s="1"/>
  <c r="R355" i="1"/>
  <c r="X368" i="1"/>
  <c r="U368" i="1"/>
  <c r="S372" i="1"/>
  <c r="Y372" i="1" s="1"/>
  <c r="R372" i="1"/>
  <c r="R412" i="1"/>
  <c r="S412" i="1"/>
  <c r="Y412" i="1" s="1"/>
  <c r="O469" i="1"/>
  <c r="N499" i="1"/>
  <c r="O499" i="1" s="1"/>
  <c r="S508" i="1"/>
  <c r="Y508" i="1" s="1"/>
  <c r="R508" i="1"/>
  <c r="S530" i="1"/>
  <c r="Y530" i="1" s="1"/>
  <c r="R530" i="1"/>
  <c r="N538" i="1"/>
  <c r="S392" i="1"/>
  <c r="Y392" i="1" s="1"/>
  <c r="R392" i="1"/>
  <c r="S464" i="1"/>
  <c r="Y464" i="1" s="1"/>
  <c r="R464" i="1"/>
  <c r="S479" i="1"/>
  <c r="Y479" i="1" s="1"/>
  <c r="R479" i="1"/>
  <c r="N512" i="1"/>
  <c r="S525" i="1"/>
  <c r="Y525" i="1" s="1"/>
  <c r="R525" i="1"/>
  <c r="S318" i="1"/>
  <c r="Y318" i="1" s="1"/>
  <c r="R318" i="1"/>
  <c r="R326" i="1"/>
  <c r="O340" i="1"/>
  <c r="R342" i="1"/>
  <c r="S385" i="1"/>
  <c r="Y385" i="1" s="1"/>
  <c r="R385" i="1"/>
  <c r="X445" i="1"/>
  <c r="U445" i="1"/>
  <c r="S447" i="1"/>
  <c r="Y447" i="1" s="1"/>
  <c r="R447" i="1"/>
  <c r="Z523" i="1"/>
  <c r="R539" i="1"/>
  <c r="R293" i="1"/>
  <c r="R348" i="1"/>
  <c r="U367" i="1"/>
  <c r="S369" i="1"/>
  <c r="Y369" i="1" s="1"/>
  <c r="R369" i="1"/>
  <c r="S414" i="1"/>
  <c r="Y414" i="1" s="1"/>
  <c r="R414" i="1"/>
  <c r="O419" i="1"/>
  <c r="N482" i="1"/>
  <c r="O491" i="1"/>
  <c r="S505" i="1"/>
  <c r="Y505" i="1" s="1"/>
  <c r="R505" i="1"/>
  <c r="X506" i="1"/>
  <c r="U523" i="1"/>
  <c r="N534" i="1"/>
  <c r="O350" i="1"/>
  <c r="S425" i="1"/>
  <c r="Y425" i="1" s="1"/>
  <c r="R425" i="1"/>
  <c r="S428" i="1"/>
  <c r="Y428" i="1" s="1"/>
  <c r="R428" i="1"/>
  <c r="Z463" i="1"/>
  <c r="N472" i="1"/>
  <c r="O472" i="1" s="1"/>
  <c r="N477" i="1"/>
  <c r="S512" i="1"/>
  <c r="Y512" i="1" s="1"/>
  <c r="R512" i="1"/>
  <c r="X537" i="1"/>
  <c r="U537" i="1"/>
  <c r="N574" i="1"/>
  <c r="U599" i="1"/>
  <c r="X599" i="1"/>
  <c r="Z599" i="1" s="1"/>
  <c r="R344" i="1"/>
  <c r="Z350" i="1"/>
  <c r="R373" i="1"/>
  <c r="S383" i="1"/>
  <c r="Y383" i="1" s="1"/>
  <c r="Z383" i="1" s="1"/>
  <c r="U389" i="1"/>
  <c r="R396" i="1"/>
  <c r="R430" i="1"/>
  <c r="S438" i="1"/>
  <c r="Y438" i="1" s="1"/>
  <c r="Z438" i="1" s="1"/>
  <c r="R451" i="1"/>
  <c r="R465" i="1"/>
  <c r="R475" i="1"/>
  <c r="U482" i="1"/>
  <c r="X482" i="1"/>
  <c r="N507" i="1"/>
  <c r="N521" i="1"/>
  <c r="N531" i="1"/>
  <c r="N533" i="1"/>
  <c r="S535" i="1"/>
  <c r="Y535" i="1" s="1"/>
  <c r="S537" i="1"/>
  <c r="Y537" i="1" s="1"/>
  <c r="N544" i="1"/>
  <c r="N551" i="1"/>
  <c r="X295" i="1"/>
  <c r="O295" i="1" s="1"/>
  <c r="U295" i="1"/>
  <c r="X319" i="1"/>
  <c r="O319" i="1" s="1"/>
  <c r="U319" i="1"/>
  <c r="X325" i="1"/>
  <c r="O325" i="1" s="1"/>
  <c r="U350" i="1"/>
  <c r="U370" i="1"/>
  <c r="U438" i="1"/>
  <c r="X460" i="1"/>
  <c r="Z460" i="1" s="1"/>
  <c r="U460" i="1"/>
  <c r="N527" i="1"/>
  <c r="X535" i="1"/>
  <c r="S540" i="1"/>
  <c r="Y540" i="1" s="1"/>
  <c r="R540" i="1"/>
  <c r="S354" i="1"/>
  <c r="Y354" i="1" s="1"/>
  <c r="R354" i="1"/>
  <c r="R458" i="1"/>
  <c r="S458" i="1"/>
  <c r="Y458" i="1" s="1"/>
  <c r="N460" i="1"/>
  <c r="N467" i="1"/>
  <c r="Z501" i="1"/>
  <c r="N517" i="1"/>
  <c r="O517" i="1" s="1"/>
  <c r="R305" i="1"/>
  <c r="S313" i="1"/>
  <c r="Y313" i="1" s="1"/>
  <c r="R313" i="1"/>
  <c r="R365" i="1"/>
  <c r="S376" i="1"/>
  <c r="Y376" i="1" s="1"/>
  <c r="Z376" i="1" s="1"/>
  <c r="R380" i="1"/>
  <c r="R384" i="1"/>
  <c r="R413" i="1"/>
  <c r="S434" i="1"/>
  <c r="Y434" i="1" s="1"/>
  <c r="Z434" i="1" s="1"/>
  <c r="R440" i="1"/>
  <c r="R450" i="1"/>
  <c r="R487" i="1"/>
  <c r="S543" i="1"/>
  <c r="Y543" i="1" s="1"/>
  <c r="R543" i="1"/>
  <c r="N537" i="1"/>
  <c r="U551" i="1"/>
  <c r="N509" i="1"/>
  <c r="S515" i="1"/>
  <c r="Y515" i="1" s="1"/>
  <c r="R515" i="1"/>
  <c r="O338" i="1"/>
  <c r="O374" i="1"/>
  <c r="S467" i="1"/>
  <c r="Y467" i="1" s="1"/>
  <c r="R467" i="1"/>
  <c r="N485" i="1"/>
  <c r="U492" i="1"/>
  <c r="X492" i="1"/>
  <c r="X507" i="1"/>
  <c r="Z507" i="1" s="1"/>
  <c r="U507" i="1"/>
  <c r="O510" i="1"/>
  <c r="X536" i="1"/>
  <c r="U536" i="1"/>
  <c r="N514" i="1"/>
  <c r="Z517" i="1"/>
  <c r="O527" i="1"/>
  <c r="N545" i="1"/>
  <c r="S496" i="1"/>
  <c r="Y496" i="1" s="1"/>
  <c r="R496" i="1"/>
  <c r="N519" i="1"/>
  <c r="N542" i="1"/>
  <c r="N597" i="1"/>
  <c r="S511" i="1"/>
  <c r="Y511" i="1" s="1"/>
  <c r="R511" i="1"/>
  <c r="N487" i="1"/>
  <c r="X489" i="1"/>
  <c r="X524" i="1"/>
  <c r="S532" i="1"/>
  <c r="Y532" i="1" s="1"/>
  <c r="R532" i="1"/>
  <c r="X533" i="1"/>
  <c r="Z533" i="1" s="1"/>
  <c r="N475" i="1"/>
  <c r="N548" i="1"/>
  <c r="S594" i="1"/>
  <c r="Y594" i="1" s="1"/>
  <c r="R594" i="1"/>
  <c r="N552" i="1"/>
  <c r="X553" i="1"/>
  <c r="U553" i="1"/>
  <c r="N616" i="1"/>
  <c r="S618" i="1"/>
  <c r="Y618" i="1" s="1"/>
  <c r="R618" i="1"/>
  <c r="R538" i="1"/>
  <c r="S548" i="1"/>
  <c r="Y548" i="1" s="1"/>
  <c r="R550" i="1"/>
  <c r="N560" i="1"/>
  <c r="N604" i="1"/>
  <c r="N561" i="1"/>
  <c r="N585" i="1"/>
  <c r="S593" i="1"/>
  <c r="Y593" i="1" s="1"/>
  <c r="R593" i="1"/>
  <c r="X596" i="1"/>
  <c r="U596" i="1"/>
  <c r="S598" i="1"/>
  <c r="Y598" i="1" s="1"/>
  <c r="R598" i="1"/>
  <c r="N601" i="1"/>
  <c r="N636" i="1"/>
  <c r="X566" i="1"/>
  <c r="U566" i="1"/>
  <c r="N570" i="1"/>
  <c r="N613" i="1"/>
  <c r="N567" i="1"/>
  <c r="O567" i="1" s="1"/>
  <c r="X574" i="1"/>
  <c r="Z574" i="1" s="1"/>
  <c r="U574" i="1"/>
  <c r="X604" i="1"/>
  <c r="U604" i="1"/>
  <c r="N614" i="1"/>
  <c r="R562" i="1"/>
  <c r="R572" i="1"/>
  <c r="N588" i="1"/>
  <c r="N592" i="1"/>
  <c r="N602" i="1"/>
  <c r="N619" i="1"/>
  <c r="Z567" i="1"/>
  <c r="N571" i="1"/>
  <c r="N580" i="1"/>
  <c r="N607" i="1"/>
  <c r="X614" i="1"/>
  <c r="U614" i="1"/>
  <c r="O558" i="1"/>
  <c r="S564" i="1"/>
  <c r="Y564" i="1" s="1"/>
  <c r="R564" i="1"/>
  <c r="S590" i="1"/>
  <c r="Y590" i="1" s="1"/>
  <c r="R590" i="1"/>
  <c r="X595" i="1"/>
  <c r="U595" i="1"/>
  <c r="O597" i="1"/>
  <c r="N554" i="1"/>
  <c r="N557" i="1"/>
  <c r="R571" i="1"/>
  <c r="N573" i="1"/>
  <c r="X580" i="1"/>
  <c r="U580" i="1"/>
  <c r="S582" i="1"/>
  <c r="Y582" i="1" s="1"/>
  <c r="R582" i="1"/>
  <c r="X627" i="1"/>
  <c r="U627" i="1"/>
  <c r="N652" i="1"/>
  <c r="X561" i="1"/>
  <c r="U561" i="1"/>
  <c r="N593" i="1"/>
  <c r="N598" i="1"/>
  <c r="N603" i="1"/>
  <c r="N608" i="1"/>
  <c r="Z627" i="1"/>
  <c r="S583" i="1"/>
  <c r="Y583" i="1" s="1"/>
  <c r="R583" i="1"/>
  <c r="X592" i="1"/>
  <c r="R606" i="1"/>
  <c r="N620" i="1"/>
  <c r="S573" i="1"/>
  <c r="Y573" i="1" s="1"/>
  <c r="R573" i="1"/>
  <c r="N587" i="1"/>
  <c r="U615" i="1"/>
  <c r="S623" i="1"/>
  <c r="Y623" i="1" s="1"/>
  <c r="R623" i="1"/>
  <c r="S633" i="1"/>
  <c r="Y633" i="1" s="1"/>
  <c r="N566" i="1"/>
  <c r="S576" i="1"/>
  <c r="Y576" i="1" s="1"/>
  <c r="R576" i="1"/>
  <c r="N582" i="1"/>
  <c r="S588" i="1"/>
  <c r="Y588" i="1" s="1"/>
  <c r="R588" i="1"/>
  <c r="X625" i="1"/>
  <c r="U625" i="1"/>
  <c r="X601" i="1"/>
  <c r="U601" i="1"/>
  <c r="N610" i="1"/>
  <c r="N622" i="1"/>
  <c r="N689" i="1"/>
  <c r="N556" i="1"/>
  <c r="X578" i="1"/>
  <c r="U578" i="1"/>
  <c r="X584" i="1"/>
  <c r="O584" i="1" s="1"/>
  <c r="U584" i="1"/>
  <c r="N586" i="1"/>
  <c r="R607" i="1"/>
  <c r="R619" i="1"/>
  <c r="S622" i="1"/>
  <c r="Y622" i="1" s="1"/>
  <c r="R622" i="1"/>
  <c r="U674" i="1"/>
  <c r="S570" i="1"/>
  <c r="Y570" i="1" s="1"/>
  <c r="R570" i="1"/>
  <c r="Z575" i="1"/>
  <c r="N577" i="1"/>
  <c r="S610" i="1"/>
  <c r="Y610" i="1" s="1"/>
  <c r="R610" i="1"/>
  <c r="U671" i="1"/>
  <c r="X671" i="1"/>
  <c r="N555" i="1"/>
  <c r="U575" i="1"/>
  <c r="R586" i="1"/>
  <c r="X600" i="1"/>
  <c r="U600" i="1"/>
  <c r="R613" i="1"/>
  <c r="R624" i="1"/>
  <c r="N629" i="1"/>
  <c r="N666" i="1"/>
  <c r="N583" i="1"/>
  <c r="Z597" i="1"/>
  <c r="N599" i="1"/>
  <c r="X616" i="1"/>
  <c r="S626" i="1"/>
  <c r="Y626" i="1" s="1"/>
  <c r="R626" i="1"/>
  <c r="U589" i="1"/>
  <c r="X589" i="1"/>
  <c r="N618" i="1"/>
  <c r="N630" i="1"/>
  <c r="N683" i="1"/>
  <c r="Z654" i="1"/>
  <c r="N635" i="1"/>
  <c r="O635" i="1" s="1"/>
  <c r="U654" i="1"/>
  <c r="X654" i="1"/>
  <c r="S665" i="1"/>
  <c r="Y665" i="1" s="1"/>
  <c r="R665" i="1"/>
  <c r="N680" i="1"/>
  <c r="N699" i="1"/>
  <c r="N696" i="1"/>
  <c r="U703" i="1"/>
  <c r="X706" i="1"/>
  <c r="U706" i="1"/>
  <c r="S631" i="1"/>
  <c r="Y631" i="1" s="1"/>
  <c r="R631" i="1"/>
  <c r="N572" i="1"/>
  <c r="U617" i="1"/>
  <c r="N664" i="1"/>
  <c r="R611" i="1"/>
  <c r="N650" i="1"/>
  <c r="S653" i="1"/>
  <c r="Y653" i="1" s="1"/>
  <c r="R653" i="1"/>
  <c r="N642" i="1"/>
  <c r="N647" i="1"/>
  <c r="O647" i="1" s="1"/>
  <c r="N633" i="1"/>
  <c r="R637" i="1"/>
  <c r="S645" i="1"/>
  <c r="Y645" i="1" s="1"/>
  <c r="R645" i="1"/>
  <c r="N649" i="1"/>
  <c r="N656" i="1"/>
  <c r="N671" i="1"/>
  <c r="N679" i="1"/>
  <c r="X639" i="1"/>
  <c r="U639" i="1"/>
  <c r="S673" i="1"/>
  <c r="Y673" i="1" s="1"/>
  <c r="R673" i="1"/>
  <c r="X683" i="1"/>
  <c r="U683" i="1"/>
  <c r="S629" i="1"/>
  <c r="Y629" i="1" s="1"/>
  <c r="R629" i="1"/>
  <c r="S644" i="1"/>
  <c r="Y644" i="1" s="1"/>
  <c r="R644" i="1"/>
  <c r="S683" i="1"/>
  <c r="Y683" i="1" s="1"/>
  <c r="N704" i="1"/>
  <c r="R632" i="1"/>
  <c r="N669" i="1"/>
  <c r="R641" i="1"/>
  <c r="N663" i="1"/>
  <c r="N668" i="1"/>
  <c r="X669" i="1"/>
  <c r="U669" i="1"/>
  <c r="X704" i="1"/>
  <c r="U704" i="1"/>
  <c r="N634" i="1"/>
  <c r="X638" i="1"/>
  <c r="U638" i="1"/>
  <c r="N653" i="1"/>
  <c r="S657" i="1"/>
  <c r="Y657" i="1" s="1"/>
  <c r="R657" i="1"/>
  <c r="S660" i="1"/>
  <c r="Y660" i="1" s="1"/>
  <c r="R660" i="1"/>
  <c r="N661" i="1"/>
  <c r="S669" i="1"/>
  <c r="Y669" i="1" s="1"/>
  <c r="N687" i="1"/>
  <c r="S650" i="1"/>
  <c r="Y650" i="1" s="1"/>
  <c r="R650" i="1"/>
  <c r="X663" i="1"/>
  <c r="Z663" i="1" s="1"/>
  <c r="U663" i="1"/>
  <c r="N665" i="1"/>
  <c r="N676" i="1"/>
  <c r="O676" i="1" s="1"/>
  <c r="N678" i="1"/>
  <c r="X689" i="1"/>
  <c r="U689" i="1"/>
  <c r="X699" i="1"/>
  <c r="U699" i="1"/>
  <c r="S636" i="1"/>
  <c r="Y636" i="1" s="1"/>
  <c r="R636" i="1"/>
  <c r="N645" i="1"/>
  <c r="N692" i="1"/>
  <c r="N662" i="1"/>
  <c r="S681" i="1"/>
  <c r="Y681" i="1" s="1"/>
  <c r="R681" i="1"/>
  <c r="N686" i="1"/>
  <c r="Z694" i="1"/>
  <c r="N698" i="1"/>
  <c r="N644" i="1"/>
  <c r="U646" i="1"/>
  <c r="S656" i="1"/>
  <c r="Y656" i="1" s="1"/>
  <c r="R656" i="1"/>
  <c r="X666" i="1"/>
  <c r="Z666" i="1" s="1"/>
  <c r="N688" i="1"/>
  <c r="N690" i="1"/>
  <c r="R692" i="1"/>
  <c r="U694" i="1"/>
  <c r="S702" i="1"/>
  <c r="Y702" i="1" s="1"/>
  <c r="R702" i="1"/>
  <c r="N670" i="1"/>
  <c r="N682" i="1"/>
  <c r="N658" i="1"/>
  <c r="O658" i="1" s="1"/>
  <c r="S670" i="1"/>
  <c r="Y670" i="1" s="1"/>
  <c r="R670" i="1"/>
  <c r="N703" i="1"/>
  <c r="O705" i="1"/>
  <c r="N672" i="1"/>
  <c r="N677" i="1"/>
  <c r="U684" i="1"/>
  <c r="Z705" i="1"/>
  <c r="N632" i="1"/>
  <c r="R651" i="1"/>
  <c r="N657" i="1"/>
  <c r="N667" i="1"/>
  <c r="O667" i="1" s="1"/>
  <c r="X677" i="1"/>
  <c r="U677" i="1"/>
  <c r="U682" i="1"/>
  <c r="N697" i="1"/>
  <c r="U705" i="1"/>
  <c r="U667" i="1"/>
  <c r="U676" i="1"/>
  <c r="R686" i="1"/>
  <c r="R695" i="1"/>
  <c r="R668" i="1"/>
  <c r="R680" i="1"/>
  <c r="R701" i="1"/>
  <c r="R649" i="1"/>
  <c r="R664" i="1"/>
  <c r="R679" i="1"/>
  <c r="R691" i="1"/>
  <c r="R700" i="1"/>
  <c r="R648" i="1"/>
  <c r="R659" i="1"/>
  <c r="R672" i="1"/>
  <c r="R678" i="1"/>
  <c r="R690" i="1"/>
  <c r="O360" i="1" l="1"/>
  <c r="Z360" i="1"/>
  <c r="Z452" i="1"/>
  <c r="Z271" i="1"/>
  <c r="U271" i="1"/>
  <c r="O278" i="1"/>
  <c r="Z61" i="1"/>
  <c r="O503" i="1"/>
  <c r="X276" i="1"/>
  <c r="X473" i="1"/>
  <c r="Z473" i="1" s="1"/>
  <c r="Z292" i="1"/>
  <c r="O138" i="1"/>
  <c r="X77" i="1"/>
  <c r="O682" i="1"/>
  <c r="Z374" i="1"/>
  <c r="Z6" i="1"/>
  <c r="Z443" i="1"/>
  <c r="U436" i="1"/>
  <c r="X436" i="1"/>
  <c r="O495" i="1"/>
  <c r="X30" i="1"/>
  <c r="U30" i="1"/>
  <c r="O516" i="1"/>
  <c r="Z282" i="1"/>
  <c r="O579" i="1"/>
  <c r="U433" i="1"/>
  <c r="O544" i="1"/>
  <c r="X317" i="1"/>
  <c r="O317" i="1" s="1"/>
  <c r="O78" i="1"/>
  <c r="U360" i="1"/>
  <c r="O501" i="1"/>
  <c r="O37" i="1"/>
  <c r="Z339" i="1"/>
  <c r="X124" i="1"/>
  <c r="Z124" i="1" s="1"/>
  <c r="X655" i="1"/>
  <c r="Z655" i="1" s="1"/>
  <c r="X249" i="1"/>
  <c r="U338" i="1"/>
  <c r="Z474" i="1"/>
  <c r="O189" i="1"/>
  <c r="O698" i="1"/>
  <c r="O699" i="1"/>
  <c r="U642" i="1"/>
  <c r="O627" i="1"/>
  <c r="O552" i="1"/>
  <c r="U422" i="1"/>
  <c r="U322" i="1"/>
  <c r="U526" i="1"/>
  <c r="U119" i="1"/>
  <c r="U138" i="1"/>
  <c r="Z152" i="1"/>
  <c r="U331" i="1"/>
  <c r="X228" i="1"/>
  <c r="Z228" i="1" s="1"/>
  <c r="X66" i="1"/>
  <c r="O23" i="1"/>
  <c r="U189" i="1"/>
  <c r="Z108" i="1"/>
  <c r="O523" i="1"/>
  <c r="U301" i="1"/>
  <c r="O478" i="1"/>
  <c r="O144" i="1"/>
  <c r="Z402" i="1"/>
  <c r="X495" i="1"/>
  <c r="Z495" i="1" s="1"/>
  <c r="O228" i="1"/>
  <c r="U442" i="1"/>
  <c r="Z478" i="1"/>
  <c r="X504" i="1"/>
  <c r="Z504" i="1" s="1"/>
  <c r="U544" i="1"/>
  <c r="X544" i="1"/>
  <c r="Z544" i="1" s="1"/>
  <c r="X40" i="1"/>
  <c r="U40" i="1"/>
  <c r="O18" i="1"/>
  <c r="U557" i="1"/>
  <c r="O689" i="1"/>
  <c r="O642" i="1"/>
  <c r="U630" i="1"/>
  <c r="U612" i="1"/>
  <c r="U579" i="1"/>
  <c r="X432" i="1"/>
  <c r="O432" i="1" s="1"/>
  <c r="O473" i="1"/>
  <c r="Z71" i="1"/>
  <c r="O207" i="1"/>
  <c r="U18" i="1"/>
  <c r="X18" i="1"/>
  <c r="Z18" i="1" s="1"/>
  <c r="O683" i="1"/>
  <c r="X634" i="1"/>
  <c r="Z634" i="1" s="1"/>
  <c r="X602" i="1"/>
  <c r="O602" i="1" s="1"/>
  <c r="Z361" i="1"/>
  <c r="O156" i="1"/>
  <c r="U29" i="1"/>
  <c r="O137" i="1"/>
  <c r="Z483" i="1"/>
  <c r="O108" i="1"/>
  <c r="X28" i="1"/>
  <c r="Z28" i="1" s="1"/>
  <c r="X577" i="1"/>
  <c r="Z577" i="1" s="1"/>
  <c r="Z433" i="1"/>
  <c r="U353" i="1"/>
  <c r="U185" i="1"/>
  <c r="O126" i="1"/>
  <c r="U221" i="1"/>
  <c r="O192" i="1"/>
  <c r="Z23" i="1"/>
  <c r="Z441" i="1"/>
  <c r="Z457" i="1"/>
  <c r="U643" i="1"/>
  <c r="X643" i="1"/>
  <c r="X435" i="1"/>
  <c r="U435" i="1"/>
  <c r="Z19" i="1"/>
  <c r="Z516" i="1"/>
  <c r="U652" i="1"/>
  <c r="O674" i="1"/>
  <c r="Z633" i="1"/>
  <c r="O509" i="1"/>
  <c r="U334" i="1"/>
  <c r="O486" i="1"/>
  <c r="O559" i="1"/>
  <c r="O498" i="1"/>
  <c r="O146" i="1"/>
  <c r="Z11" i="1"/>
  <c r="Z286" i="1"/>
  <c r="X398" i="1"/>
  <c r="U398" i="1"/>
  <c r="X531" i="1"/>
  <c r="U531" i="1"/>
  <c r="X127" i="1"/>
  <c r="U127" i="1"/>
  <c r="Z79" i="1"/>
  <c r="Z699" i="1"/>
  <c r="Z358" i="1"/>
  <c r="X54" i="1"/>
  <c r="Z54" i="1" s="1"/>
  <c r="U54" i="1"/>
  <c r="Z155" i="1"/>
  <c r="X302" i="1"/>
  <c r="U302" i="1"/>
  <c r="X290" i="1"/>
  <c r="U290" i="1"/>
  <c r="Z201" i="1"/>
  <c r="O513" i="1"/>
  <c r="X381" i="1"/>
  <c r="U381" i="1"/>
  <c r="U15" i="1"/>
  <c r="X15" i="1"/>
  <c r="Z15" i="1" s="1"/>
  <c r="Z317" i="1"/>
  <c r="U177" i="1"/>
  <c r="Z513" i="1"/>
  <c r="X697" i="1"/>
  <c r="Z697" i="1" s="1"/>
  <c r="U697" i="1"/>
  <c r="X437" i="1"/>
  <c r="U437" i="1"/>
  <c r="X364" i="1"/>
  <c r="O364" i="1" s="1"/>
  <c r="U364" i="1"/>
  <c r="Z300" i="1"/>
  <c r="O706" i="1"/>
  <c r="Z706" i="1"/>
  <c r="X688" i="1"/>
  <c r="U688" i="1"/>
  <c r="U394" i="1"/>
  <c r="X394" i="1"/>
  <c r="X563" i="1"/>
  <c r="Z563" i="1" s="1"/>
  <c r="U563" i="1"/>
  <c r="X621" i="1"/>
  <c r="O621" i="1" s="1"/>
  <c r="U621" i="1"/>
  <c r="U477" i="1"/>
  <c r="X477" i="1"/>
  <c r="O477" i="1" s="1"/>
  <c r="U675" i="1"/>
  <c r="X675" i="1"/>
  <c r="O675" i="1" s="1"/>
  <c r="X620" i="1"/>
  <c r="U620" i="1"/>
  <c r="X379" i="1"/>
  <c r="U379" i="1"/>
  <c r="O526" i="1"/>
  <c r="Z526" i="1"/>
  <c r="X399" i="1"/>
  <c r="U399" i="1"/>
  <c r="X591" i="1"/>
  <c r="U591" i="1"/>
  <c r="X560" i="1"/>
  <c r="U560" i="1"/>
  <c r="U174" i="1"/>
  <c r="X174" i="1"/>
  <c r="X415" i="1"/>
  <c r="U415" i="1"/>
  <c r="O133" i="1"/>
  <c r="U696" i="1"/>
  <c r="X696" i="1"/>
  <c r="X219" i="1"/>
  <c r="U219" i="1"/>
  <c r="X63" i="1"/>
  <c r="O63" i="1" s="1"/>
  <c r="U63" i="1"/>
  <c r="O578" i="1"/>
  <c r="Z578" i="1"/>
  <c r="O585" i="1"/>
  <c r="O98" i="1"/>
  <c r="Z98" i="1"/>
  <c r="O378" i="1"/>
  <c r="Z378" i="1"/>
  <c r="O243" i="1"/>
  <c r="O351" i="1"/>
  <c r="Z351" i="1"/>
  <c r="U300" i="1"/>
  <c r="O267" i="1"/>
  <c r="Z267" i="1"/>
  <c r="X243" i="1"/>
  <c r="Z243" i="1" s="1"/>
  <c r="U243" i="1"/>
  <c r="U332" i="1"/>
  <c r="X332" i="1"/>
  <c r="X343" i="1"/>
  <c r="U343" i="1"/>
  <c r="O410" i="1"/>
  <c r="Z410" i="1"/>
  <c r="X60" i="1"/>
  <c r="O60" i="1" s="1"/>
  <c r="U60" i="1"/>
  <c r="Z448" i="1"/>
  <c r="X549" i="1"/>
  <c r="Z549" i="1" s="1"/>
  <c r="U549" i="1"/>
  <c r="U303" i="1"/>
  <c r="X303" i="1"/>
  <c r="O303" i="1" s="1"/>
  <c r="X76" i="1"/>
  <c r="Z76" i="1" s="1"/>
  <c r="U76" i="1"/>
  <c r="U661" i="1"/>
  <c r="X661" i="1"/>
  <c r="O561" i="1"/>
  <c r="Z561" i="1"/>
  <c r="U519" i="1"/>
  <c r="O565" i="1"/>
  <c r="U521" i="1"/>
  <c r="X521" i="1"/>
  <c r="O521" i="1" s="1"/>
  <c r="O671" i="1"/>
  <c r="U568" i="1"/>
  <c r="X568" i="1"/>
  <c r="X556" i="1"/>
  <c r="Z556" i="1" s="1"/>
  <c r="U556" i="1"/>
  <c r="X269" i="1"/>
  <c r="U269" i="1"/>
  <c r="X73" i="1"/>
  <c r="O73" i="1" s="1"/>
  <c r="U73" i="1"/>
  <c r="X139" i="1"/>
  <c r="U139" i="1"/>
  <c r="Z146" i="1"/>
  <c r="U640" i="1"/>
  <c r="X640" i="1"/>
  <c r="Z552" i="1"/>
  <c r="X257" i="1"/>
  <c r="U257" i="1"/>
  <c r="O59" i="1"/>
  <c r="X608" i="1"/>
  <c r="U608" i="1"/>
  <c r="X316" i="1"/>
  <c r="O316" i="1" s="1"/>
  <c r="U316" i="1"/>
  <c r="U555" i="1"/>
  <c r="X555" i="1"/>
  <c r="Z555" i="1" s="1"/>
  <c r="O662" i="1"/>
  <c r="O654" i="1"/>
  <c r="O483" i="1"/>
  <c r="Z245" i="1"/>
  <c r="Z427" i="1"/>
  <c r="Z420" i="1"/>
  <c r="X307" i="1"/>
  <c r="U307" i="1"/>
  <c r="X310" i="1"/>
  <c r="U310" i="1"/>
  <c r="X153" i="1"/>
  <c r="O153" i="1" s="1"/>
  <c r="U153" i="1"/>
  <c r="O625" i="1"/>
  <c r="O242" i="1"/>
  <c r="U416" i="1"/>
  <c r="X416" i="1"/>
  <c r="U554" i="1"/>
  <c r="X554" i="1"/>
  <c r="U662" i="1"/>
  <c r="X662" i="1"/>
  <c r="Z662" i="1" s="1"/>
  <c r="Z585" i="1"/>
  <c r="X239" i="1"/>
  <c r="U239" i="1"/>
  <c r="U114" i="1"/>
  <c r="X114" i="1"/>
  <c r="X48" i="1"/>
  <c r="Z48" i="1" s="1"/>
  <c r="U48" i="1"/>
  <c r="Z270" i="1"/>
  <c r="Z468" i="1"/>
  <c r="Z232" i="1"/>
  <c r="U541" i="1"/>
  <c r="O549" i="1"/>
  <c r="O628" i="1"/>
  <c r="Z137" i="1"/>
  <c r="U687" i="1"/>
  <c r="X687" i="1"/>
  <c r="Z687" i="1" s="1"/>
  <c r="X693" i="1"/>
  <c r="U693" i="1"/>
  <c r="X401" i="1"/>
  <c r="O401" i="1" s="1"/>
  <c r="U401" i="1"/>
  <c r="Z389" i="1"/>
  <c r="U470" i="1"/>
  <c r="X470" i="1"/>
  <c r="U357" i="1"/>
  <c r="X357" i="1"/>
  <c r="O357" i="1" s="1"/>
  <c r="X327" i="1"/>
  <c r="U327" i="1"/>
  <c r="U213" i="1"/>
  <c r="X213" i="1"/>
  <c r="Z213" i="1" s="1"/>
  <c r="U42" i="1"/>
  <c r="X42" i="1"/>
  <c r="O574" i="1"/>
  <c r="Z548" i="1"/>
  <c r="O537" i="1"/>
  <c r="O196" i="1"/>
  <c r="U603" i="1"/>
  <c r="X603" i="1"/>
  <c r="Z603" i="1" s="1"/>
  <c r="U336" i="1"/>
  <c r="X336" i="1"/>
  <c r="O336" i="1" s="1"/>
  <c r="Z315" i="1"/>
  <c r="O315" i="1"/>
  <c r="U115" i="1"/>
  <c r="X115" i="1"/>
  <c r="O555" i="1"/>
  <c r="Z584" i="1"/>
  <c r="O535" i="1"/>
  <c r="O235" i="1"/>
  <c r="O264" i="1"/>
  <c r="Z37" i="1"/>
  <c r="Z294" i="1"/>
  <c r="Z304" i="1"/>
  <c r="U281" i="1"/>
  <c r="X281" i="1"/>
  <c r="O281" i="1" s="1"/>
  <c r="X88" i="1"/>
  <c r="Z88" i="1" s="1"/>
  <c r="U88" i="1"/>
  <c r="O548" i="1"/>
  <c r="Z59" i="1"/>
  <c r="Z55" i="1"/>
  <c r="U542" i="1"/>
  <c r="X542" i="1"/>
  <c r="Z542" i="1" s="1"/>
  <c r="X395" i="1"/>
  <c r="O395" i="1" s="1"/>
  <c r="U395" i="1"/>
  <c r="X400" i="1"/>
  <c r="U400" i="1"/>
  <c r="X312" i="1"/>
  <c r="U312" i="1"/>
  <c r="X418" i="1"/>
  <c r="O418" i="1" s="1"/>
  <c r="U418" i="1"/>
  <c r="U685" i="1"/>
  <c r="X685" i="1"/>
  <c r="Z685" i="1" s="1"/>
  <c r="X447" i="1"/>
  <c r="O447" i="1" s="1"/>
  <c r="U447" i="1"/>
  <c r="X355" i="1"/>
  <c r="O355" i="1" s="1"/>
  <c r="U355" i="1"/>
  <c r="O199" i="1"/>
  <c r="Z199" i="1"/>
  <c r="O85" i="1"/>
  <c r="Z85" i="1"/>
  <c r="X377" i="1"/>
  <c r="U377" i="1"/>
  <c r="X455" i="1"/>
  <c r="U455" i="1"/>
  <c r="X701" i="1"/>
  <c r="U701" i="1"/>
  <c r="O589" i="1"/>
  <c r="Z589" i="1"/>
  <c r="U583" i="1"/>
  <c r="X583" i="1"/>
  <c r="O583" i="1" s="1"/>
  <c r="U571" i="1"/>
  <c r="X571" i="1"/>
  <c r="Z625" i="1"/>
  <c r="U512" i="1"/>
  <c r="X512" i="1"/>
  <c r="O512" i="1" s="1"/>
  <c r="X369" i="1"/>
  <c r="O369" i="1" s="1"/>
  <c r="U369" i="1"/>
  <c r="X386" i="1"/>
  <c r="O386" i="1" s="1"/>
  <c r="U386" i="1"/>
  <c r="O375" i="1"/>
  <c r="Z375" i="1"/>
  <c r="U347" i="1"/>
  <c r="X347" i="1"/>
  <c r="O347" i="1" s="1"/>
  <c r="X197" i="1"/>
  <c r="U197" i="1"/>
  <c r="O514" i="1"/>
  <c r="Z514" i="1"/>
  <c r="O183" i="1"/>
  <c r="Z183" i="1"/>
  <c r="X681" i="1"/>
  <c r="O681" i="1" s="1"/>
  <c r="U681" i="1"/>
  <c r="U464" i="1"/>
  <c r="X464" i="1"/>
  <c r="O464" i="1" s="1"/>
  <c r="U648" i="1"/>
  <c r="X648" i="1"/>
  <c r="X670" i="1"/>
  <c r="O670" i="1" s="1"/>
  <c r="U670" i="1"/>
  <c r="X570" i="1"/>
  <c r="O570" i="1" s="1"/>
  <c r="U570" i="1"/>
  <c r="O601" i="1"/>
  <c r="Z601" i="1"/>
  <c r="O595" i="1"/>
  <c r="Z595" i="1"/>
  <c r="X543" i="1"/>
  <c r="O543" i="1" s="1"/>
  <c r="U543" i="1"/>
  <c r="X430" i="1"/>
  <c r="U430" i="1"/>
  <c r="O599" i="1"/>
  <c r="U423" i="1"/>
  <c r="X423" i="1"/>
  <c r="O423" i="1" s="1"/>
  <c r="X665" i="1"/>
  <c r="O665" i="1" s="1"/>
  <c r="U665" i="1"/>
  <c r="U700" i="1"/>
  <c r="X700" i="1"/>
  <c r="X692" i="1"/>
  <c r="U692" i="1"/>
  <c r="X660" i="1"/>
  <c r="O660" i="1" s="1"/>
  <c r="U660" i="1"/>
  <c r="X590" i="1"/>
  <c r="O590" i="1" s="1"/>
  <c r="U590" i="1"/>
  <c r="O614" i="1"/>
  <c r="Z614" i="1"/>
  <c r="O445" i="1"/>
  <c r="Z445" i="1"/>
  <c r="U186" i="1"/>
  <c r="X186" i="1"/>
  <c r="X624" i="1"/>
  <c r="U624" i="1"/>
  <c r="X619" i="1"/>
  <c r="U619" i="1"/>
  <c r="Z590" i="1"/>
  <c r="Z566" i="1"/>
  <c r="O566" i="1"/>
  <c r="X598" i="1"/>
  <c r="O598" i="1" s="1"/>
  <c r="U598" i="1"/>
  <c r="X384" i="1"/>
  <c r="U384" i="1"/>
  <c r="Z535" i="1"/>
  <c r="Z482" i="1"/>
  <c r="O482" i="1"/>
  <c r="O334" i="1"/>
  <c r="Z334" i="1"/>
  <c r="X348" i="1"/>
  <c r="U348" i="1"/>
  <c r="U385" i="1"/>
  <c r="X385" i="1"/>
  <c r="O385" i="1" s="1"/>
  <c r="X525" i="1"/>
  <c r="O525" i="1" s="1"/>
  <c r="U525" i="1"/>
  <c r="X518" i="1"/>
  <c r="O518" i="1" s="1"/>
  <c r="U518" i="1"/>
  <c r="X453" i="1"/>
  <c r="U453" i="1"/>
  <c r="X265" i="1"/>
  <c r="U265" i="1"/>
  <c r="U178" i="1"/>
  <c r="X178" i="1"/>
  <c r="U56" i="1"/>
  <c r="X56" i="1"/>
  <c r="X321" i="1"/>
  <c r="O321" i="1" s="1"/>
  <c r="U321" i="1"/>
  <c r="X259" i="1"/>
  <c r="U259" i="1"/>
  <c r="X252" i="1"/>
  <c r="O252" i="1" s="1"/>
  <c r="U252" i="1"/>
  <c r="U141" i="1"/>
  <c r="X141" i="1"/>
  <c r="O141" i="1" s="1"/>
  <c r="X151" i="1"/>
  <c r="O151" i="1" s="1"/>
  <c r="U151" i="1"/>
  <c r="X130" i="1"/>
  <c r="U130" i="1"/>
  <c r="O462" i="1"/>
  <c r="Z462" i="1"/>
  <c r="O162" i="1"/>
  <c r="Z162" i="1"/>
  <c r="X471" i="1"/>
  <c r="O471" i="1" s="1"/>
  <c r="U471" i="1"/>
  <c r="U93" i="1"/>
  <c r="X93" i="1"/>
  <c r="O93" i="1" s="1"/>
  <c r="O331" i="1"/>
  <c r="Z331" i="1"/>
  <c r="U649" i="1"/>
  <c r="X649" i="1"/>
  <c r="X651" i="1"/>
  <c r="U651" i="1"/>
  <c r="O634" i="1"/>
  <c r="X562" i="1"/>
  <c r="U562" i="1"/>
  <c r="U173" i="1"/>
  <c r="X173" i="1"/>
  <c r="O173" i="1" s="1"/>
  <c r="X659" i="1"/>
  <c r="U659" i="1"/>
  <c r="U691" i="1"/>
  <c r="X691" i="1"/>
  <c r="X656" i="1"/>
  <c r="O656" i="1" s="1"/>
  <c r="U656" i="1"/>
  <c r="X626" i="1"/>
  <c r="O626" i="1" s="1"/>
  <c r="U626" i="1"/>
  <c r="X588" i="1"/>
  <c r="O588" i="1" s="1"/>
  <c r="U588" i="1"/>
  <c r="U679" i="1"/>
  <c r="X679" i="1"/>
  <c r="Z682" i="1"/>
  <c r="X657" i="1"/>
  <c r="O657" i="1" s="1"/>
  <c r="U657" i="1"/>
  <c r="O704" i="1"/>
  <c r="U641" i="1"/>
  <c r="X641" i="1"/>
  <c r="Z704" i="1"/>
  <c r="Z652" i="1"/>
  <c r="X607" i="1"/>
  <c r="U607" i="1"/>
  <c r="O612" i="1"/>
  <c r="Z612" i="1"/>
  <c r="O604" i="1"/>
  <c r="Z604" i="1"/>
  <c r="Z598" i="1"/>
  <c r="O492" i="1"/>
  <c r="Z492" i="1"/>
  <c r="U487" i="1"/>
  <c r="X487" i="1"/>
  <c r="U380" i="1"/>
  <c r="X380" i="1"/>
  <c r="X540" i="1"/>
  <c r="O540" i="1" s="1"/>
  <c r="U540" i="1"/>
  <c r="X396" i="1"/>
  <c r="U396" i="1"/>
  <c r="Z385" i="1"/>
  <c r="O541" i="1"/>
  <c r="Z541" i="1"/>
  <c r="U258" i="1"/>
  <c r="X258" i="1"/>
  <c r="X44" i="1"/>
  <c r="U44" i="1"/>
  <c r="U397" i="1"/>
  <c r="X397" i="1"/>
  <c r="O397" i="1" s="1"/>
  <c r="X132" i="1"/>
  <c r="O132" i="1" s="1"/>
  <c r="U132" i="1"/>
  <c r="X181" i="1"/>
  <c r="O181" i="1" s="1"/>
  <c r="U181" i="1"/>
  <c r="X702" i="1"/>
  <c r="O702" i="1" s="1"/>
  <c r="U702" i="1"/>
  <c r="O638" i="1"/>
  <c r="Z638" i="1"/>
  <c r="O442" i="1"/>
  <c r="Z442" i="1"/>
  <c r="U623" i="1"/>
  <c r="X623" i="1"/>
  <c r="O623" i="1" s="1"/>
  <c r="X680" i="1"/>
  <c r="U680" i="1"/>
  <c r="Z551" i="1"/>
  <c r="O551" i="1"/>
  <c r="X488" i="1"/>
  <c r="O488" i="1" s="1"/>
  <c r="U488" i="1"/>
  <c r="O391" i="1"/>
  <c r="Z391" i="1"/>
  <c r="X68" i="1"/>
  <c r="U68" i="1"/>
  <c r="X528" i="1"/>
  <c r="O528" i="1" s="1"/>
  <c r="U528" i="1"/>
  <c r="X161" i="1"/>
  <c r="O161" i="1" s="1"/>
  <c r="U161" i="1"/>
  <c r="X51" i="1"/>
  <c r="O51" i="1" s="1"/>
  <c r="U51" i="1"/>
  <c r="X636" i="1"/>
  <c r="O636" i="1" s="1"/>
  <c r="U636" i="1"/>
  <c r="X644" i="1"/>
  <c r="O644" i="1" s="1"/>
  <c r="U644" i="1"/>
  <c r="Z689" i="1"/>
  <c r="O703" i="1"/>
  <c r="Z703" i="1"/>
  <c r="O616" i="1"/>
  <c r="Z616" i="1"/>
  <c r="Z671" i="1"/>
  <c r="O557" i="1"/>
  <c r="X532" i="1"/>
  <c r="O532" i="1" s="1"/>
  <c r="U532" i="1"/>
  <c r="U511" i="1"/>
  <c r="X511" i="1"/>
  <c r="O511" i="1" s="1"/>
  <c r="U458" i="1"/>
  <c r="X458" i="1"/>
  <c r="O458" i="1" s="1"/>
  <c r="U475" i="1"/>
  <c r="X475" i="1"/>
  <c r="O301" i="1"/>
  <c r="Z301" i="1"/>
  <c r="O322" i="1"/>
  <c r="Z322" i="1"/>
  <c r="U81" i="1"/>
  <c r="X81" i="1"/>
  <c r="O81" i="1" s="1"/>
  <c r="O221" i="1"/>
  <c r="Z221" i="1"/>
  <c r="U154" i="1"/>
  <c r="X154" i="1"/>
  <c r="O154" i="1" s="1"/>
  <c r="O111" i="1"/>
  <c r="Z111" i="1"/>
  <c r="U45" i="1"/>
  <c r="X45" i="1"/>
  <c r="O45" i="1" s="1"/>
  <c r="X168" i="1"/>
  <c r="U168" i="1"/>
  <c r="O630" i="1"/>
  <c r="O600" i="1"/>
  <c r="O596" i="1"/>
  <c r="Z596" i="1"/>
  <c r="X365" i="1"/>
  <c r="U365" i="1"/>
  <c r="U354" i="1"/>
  <c r="X354" i="1"/>
  <c r="O354" i="1" s="1"/>
  <c r="X465" i="1"/>
  <c r="U465" i="1"/>
  <c r="U539" i="1"/>
  <c r="X539" i="1"/>
  <c r="Z319" i="1"/>
  <c r="X157" i="1"/>
  <c r="U157" i="1"/>
  <c r="X20" i="1"/>
  <c r="U20" i="1"/>
  <c r="X297" i="1"/>
  <c r="O297" i="1" s="1"/>
  <c r="U297" i="1"/>
  <c r="X230" i="1"/>
  <c r="U230" i="1"/>
  <c r="X145" i="1"/>
  <c r="U145" i="1"/>
  <c r="Z295" i="1"/>
  <c r="U366" i="1"/>
  <c r="X366" i="1"/>
  <c r="U184" i="1"/>
  <c r="X184" i="1"/>
  <c r="O184" i="1" s="1"/>
  <c r="O224" i="1"/>
  <c r="Z224" i="1"/>
  <c r="X690" i="1"/>
  <c r="U690" i="1"/>
  <c r="X629" i="1"/>
  <c r="O629" i="1" s="1"/>
  <c r="U629" i="1"/>
  <c r="X586" i="1"/>
  <c r="U586" i="1"/>
  <c r="X572" i="1"/>
  <c r="U572" i="1"/>
  <c r="X550" i="1"/>
  <c r="U550" i="1"/>
  <c r="O553" i="1"/>
  <c r="Z553" i="1"/>
  <c r="O536" i="1"/>
  <c r="Z536" i="1"/>
  <c r="U313" i="1"/>
  <c r="X313" i="1"/>
  <c r="O313" i="1" s="1"/>
  <c r="U373" i="1"/>
  <c r="X373" i="1"/>
  <c r="X326" i="1"/>
  <c r="U326" i="1"/>
  <c r="X520" i="1"/>
  <c r="O520" i="1" s="1"/>
  <c r="U520" i="1"/>
  <c r="X236" i="1"/>
  <c r="U236" i="1"/>
  <c r="U150" i="1"/>
  <c r="X150" i="1"/>
  <c r="X8" i="1"/>
  <c r="U8" i="1"/>
  <c r="Z231" i="1"/>
  <c r="O231" i="1"/>
  <c r="X95" i="1"/>
  <c r="U95" i="1"/>
  <c r="U454" i="1"/>
  <c r="X454" i="1"/>
  <c r="O454" i="1" s="1"/>
  <c r="X14" i="1"/>
  <c r="O14" i="1" s="1"/>
  <c r="U14" i="1"/>
  <c r="X653" i="1"/>
  <c r="O653" i="1" s="1"/>
  <c r="U653" i="1"/>
  <c r="X650" i="1"/>
  <c r="O650" i="1" s="1"/>
  <c r="U650" i="1"/>
  <c r="O639" i="1"/>
  <c r="Z639" i="1"/>
  <c r="X496" i="1"/>
  <c r="O496" i="1" s="1"/>
  <c r="U496" i="1"/>
  <c r="U467" i="1"/>
  <c r="X467" i="1"/>
  <c r="O467" i="1" s="1"/>
  <c r="O422" i="1"/>
  <c r="Z422" i="1"/>
  <c r="X508" i="1"/>
  <c r="O508" i="1" s="1"/>
  <c r="U508" i="1"/>
  <c r="X94" i="1"/>
  <c r="U94" i="1"/>
  <c r="X22" i="1"/>
  <c r="U22" i="1"/>
  <c r="O461" i="1"/>
  <c r="Z461" i="1"/>
  <c r="U21" i="1"/>
  <c r="X21" i="1"/>
  <c r="O21" i="1" s="1"/>
  <c r="X686" i="1"/>
  <c r="U686" i="1"/>
  <c r="X505" i="1"/>
  <c r="O505" i="1" s="1"/>
  <c r="U505" i="1"/>
  <c r="O119" i="1"/>
  <c r="Z119" i="1"/>
  <c r="O592" i="1"/>
  <c r="Z592" i="1"/>
  <c r="X425" i="1"/>
  <c r="O425" i="1" s="1"/>
  <c r="U425" i="1"/>
  <c r="O663" i="1"/>
  <c r="X645" i="1"/>
  <c r="O645" i="1" s="1"/>
  <c r="U645" i="1"/>
  <c r="U672" i="1"/>
  <c r="X672" i="1"/>
  <c r="X695" i="1"/>
  <c r="U695" i="1"/>
  <c r="O666" i="1"/>
  <c r="X610" i="1"/>
  <c r="O610" i="1" s="1"/>
  <c r="U610" i="1"/>
  <c r="Z600" i="1"/>
  <c r="X564" i="1"/>
  <c r="O564" i="1" s="1"/>
  <c r="U564" i="1"/>
  <c r="O677" i="1"/>
  <c r="Z677" i="1"/>
  <c r="U611" i="1"/>
  <c r="X611" i="1"/>
  <c r="X631" i="1"/>
  <c r="O631" i="1" s="1"/>
  <c r="U631" i="1"/>
  <c r="Z610" i="1"/>
  <c r="U538" i="1"/>
  <c r="X538" i="1"/>
  <c r="O489" i="1"/>
  <c r="Z489" i="1"/>
  <c r="X450" i="1"/>
  <c r="U450" i="1"/>
  <c r="X305" i="1"/>
  <c r="U305" i="1"/>
  <c r="U344" i="1"/>
  <c r="X344" i="1"/>
  <c r="O506" i="1"/>
  <c r="Z506" i="1"/>
  <c r="O368" i="1"/>
  <c r="Z368" i="1"/>
  <c r="U446" i="1"/>
  <c r="X446" i="1"/>
  <c r="O446" i="1" s="1"/>
  <c r="O529" i="1"/>
  <c r="Z529" i="1"/>
  <c r="X444" i="1"/>
  <c r="O444" i="1" s="1"/>
  <c r="U444" i="1"/>
  <c r="U179" i="1"/>
  <c r="X179" i="1"/>
  <c r="O179" i="1" s="1"/>
  <c r="Z242" i="1"/>
  <c r="X203" i="1"/>
  <c r="U203" i="1"/>
  <c r="X86" i="1"/>
  <c r="O86" i="1" s="1"/>
  <c r="U86" i="1"/>
  <c r="X27" i="1"/>
  <c r="O27" i="1" s="1"/>
  <c r="U27" i="1"/>
  <c r="Z423" i="1"/>
  <c r="X46" i="1"/>
  <c r="U46" i="1"/>
  <c r="X13" i="1"/>
  <c r="U13" i="1"/>
  <c r="U143" i="1"/>
  <c r="X143" i="1"/>
  <c r="U284" i="1"/>
  <c r="X284" i="1"/>
  <c r="O211" i="1"/>
  <c r="X74" i="1"/>
  <c r="U74" i="1"/>
  <c r="U393" i="1"/>
  <c r="X393" i="1"/>
  <c r="O393" i="1" s="1"/>
  <c r="U439" i="1"/>
  <c r="X439" i="1"/>
  <c r="X277" i="1"/>
  <c r="O277" i="1" s="1"/>
  <c r="U277" i="1"/>
  <c r="X180" i="1"/>
  <c r="U180" i="1"/>
  <c r="Z471" i="1"/>
  <c r="X99" i="1"/>
  <c r="O99" i="1" s="1"/>
  <c r="U99" i="1"/>
  <c r="X405" i="1"/>
  <c r="O405" i="1" s="1"/>
  <c r="U405" i="1"/>
  <c r="Z449" i="1"/>
  <c r="X194" i="1"/>
  <c r="O194" i="1" s="1"/>
  <c r="U194" i="1"/>
  <c r="X110" i="1"/>
  <c r="U110" i="1"/>
  <c r="O41" i="1"/>
  <c r="Z41" i="1"/>
  <c r="X490" i="1"/>
  <c r="O490" i="1" s="1"/>
  <c r="U490" i="1"/>
  <c r="U65" i="1"/>
  <c r="X65" i="1"/>
  <c r="X10" i="1"/>
  <c r="U10" i="1"/>
  <c r="U480" i="1"/>
  <c r="X480" i="1"/>
  <c r="O480" i="1" s="1"/>
  <c r="O216" i="1"/>
  <c r="Z278" i="1"/>
  <c r="U233" i="1"/>
  <c r="X233" i="1"/>
  <c r="O91" i="1"/>
  <c r="Z91" i="1"/>
  <c r="Z277" i="1"/>
  <c r="X176" i="1"/>
  <c r="U176" i="1"/>
  <c r="O17" i="1"/>
  <c r="X158" i="1"/>
  <c r="O158" i="1" s="1"/>
  <c r="U158" i="1"/>
  <c r="O29" i="1"/>
  <c r="Z29" i="1"/>
  <c r="O39" i="1"/>
  <c r="Z39" i="1"/>
  <c r="U287" i="1"/>
  <c r="X287" i="1"/>
  <c r="O287" i="1" s="1"/>
  <c r="Z409" i="1"/>
  <c r="U320" i="1"/>
  <c r="X320" i="1"/>
  <c r="O320" i="1" s="1"/>
  <c r="U345" i="1"/>
  <c r="X345" i="1"/>
  <c r="O345" i="1" s="1"/>
  <c r="X341" i="1"/>
  <c r="U341" i="1"/>
  <c r="U250" i="1"/>
  <c r="X250" i="1"/>
  <c r="X164" i="1"/>
  <c r="U164" i="1"/>
  <c r="U32" i="1"/>
  <c r="X32" i="1"/>
  <c r="X106" i="1"/>
  <c r="U106" i="1"/>
  <c r="X34" i="1"/>
  <c r="U34" i="1"/>
  <c r="X484" i="1"/>
  <c r="O484" i="1" s="1"/>
  <c r="U484" i="1"/>
  <c r="U335" i="1"/>
  <c r="X335" i="1"/>
  <c r="O335" i="1" s="1"/>
  <c r="U337" i="1"/>
  <c r="X337" i="1"/>
  <c r="O337" i="1" s="1"/>
  <c r="U272" i="1"/>
  <c r="X272" i="1"/>
  <c r="O272" i="1" s="1"/>
  <c r="X476" i="1"/>
  <c r="O476" i="1" s="1"/>
  <c r="U476" i="1"/>
  <c r="O67" i="1"/>
  <c r="Z67" i="1"/>
  <c r="U390" i="1"/>
  <c r="X390" i="1"/>
  <c r="O390" i="1" s="1"/>
  <c r="U215" i="1"/>
  <c r="X215" i="1"/>
  <c r="O215" i="1" s="1"/>
  <c r="U89" i="1"/>
  <c r="X89" i="1"/>
  <c r="X329" i="1"/>
  <c r="U329" i="1"/>
  <c r="X237" i="1"/>
  <c r="O237" i="1" s="1"/>
  <c r="U237" i="1"/>
  <c r="X333" i="1"/>
  <c r="O333" i="1" s="1"/>
  <c r="U333" i="1"/>
  <c r="Z192" i="1"/>
  <c r="U308" i="1"/>
  <c r="X308" i="1"/>
  <c r="Z26" i="1"/>
  <c r="Z118" i="1"/>
  <c r="X613" i="1"/>
  <c r="U613" i="1"/>
  <c r="X622" i="1"/>
  <c r="O622" i="1" s="1"/>
  <c r="U622" i="1"/>
  <c r="X576" i="1"/>
  <c r="O576" i="1" s="1"/>
  <c r="U576" i="1"/>
  <c r="U573" i="1"/>
  <c r="X573" i="1"/>
  <c r="O573" i="1" s="1"/>
  <c r="X593" i="1"/>
  <c r="O593" i="1" s="1"/>
  <c r="U593" i="1"/>
  <c r="U618" i="1"/>
  <c r="X618" i="1"/>
  <c r="O618" i="1" s="1"/>
  <c r="X594" i="1"/>
  <c r="O594" i="1" s="1"/>
  <c r="U594" i="1"/>
  <c r="O507" i="1"/>
  <c r="U440" i="1"/>
  <c r="X440" i="1"/>
  <c r="X451" i="1"/>
  <c r="U451" i="1"/>
  <c r="U428" i="1"/>
  <c r="X428" i="1"/>
  <c r="O428" i="1" s="1"/>
  <c r="X293" i="1"/>
  <c r="U293" i="1"/>
  <c r="U392" i="1"/>
  <c r="X392" i="1"/>
  <c r="O392" i="1" s="1"/>
  <c r="O291" i="1"/>
  <c r="Z291" i="1"/>
  <c r="Z325" i="1"/>
  <c r="O502" i="1"/>
  <c r="U306" i="1"/>
  <c r="X306" i="1"/>
  <c r="X229" i="1"/>
  <c r="U229" i="1"/>
  <c r="X140" i="1"/>
  <c r="U140" i="1"/>
  <c r="U296" i="1"/>
  <c r="X296" i="1"/>
  <c r="O296" i="1" s="1"/>
  <c r="U330" i="1"/>
  <c r="X330" i="1"/>
  <c r="X407" i="1"/>
  <c r="O407" i="1" s="1"/>
  <c r="U407" i="1"/>
  <c r="U256" i="1"/>
  <c r="X256" i="1"/>
  <c r="O256" i="1" s="1"/>
  <c r="U129" i="1"/>
  <c r="X129" i="1"/>
  <c r="O129" i="1" s="1"/>
  <c r="X268" i="1"/>
  <c r="O268" i="1" s="1"/>
  <c r="U268" i="1"/>
  <c r="X191" i="1"/>
  <c r="O191" i="1" s="1"/>
  <c r="U191" i="1"/>
  <c r="Z151" i="1"/>
  <c r="U349" i="1"/>
  <c r="X349" i="1"/>
  <c r="O349" i="1" s="1"/>
  <c r="X227" i="1"/>
  <c r="U227" i="1"/>
  <c r="U47" i="1"/>
  <c r="X47" i="1"/>
  <c r="X356" i="1"/>
  <c r="U356" i="1"/>
  <c r="U57" i="1"/>
  <c r="X57" i="1"/>
  <c r="O57" i="1" s="1"/>
  <c r="U251" i="1"/>
  <c r="X251" i="1"/>
  <c r="O251" i="1" s="1"/>
  <c r="Z107" i="1"/>
  <c r="U35" i="1"/>
  <c r="X35" i="1"/>
  <c r="X125" i="1"/>
  <c r="U125" i="1"/>
  <c r="O255" i="1"/>
  <c r="X253" i="1"/>
  <c r="O253" i="1" s="1"/>
  <c r="U253" i="1"/>
  <c r="X96" i="1"/>
  <c r="O96" i="1" s="1"/>
  <c r="U96" i="1"/>
  <c r="X38" i="1"/>
  <c r="U38" i="1"/>
  <c r="O76" i="1"/>
  <c r="Z196" i="1"/>
  <c r="Z43" i="1"/>
  <c r="Z235" i="1"/>
  <c r="X668" i="1"/>
  <c r="U668" i="1"/>
  <c r="O669" i="1"/>
  <c r="Z683" i="1"/>
  <c r="U637" i="1"/>
  <c r="X637" i="1"/>
  <c r="U582" i="1"/>
  <c r="X582" i="1"/>
  <c r="O582" i="1" s="1"/>
  <c r="Z618" i="1"/>
  <c r="O533" i="1"/>
  <c r="Z428" i="1"/>
  <c r="U414" i="1"/>
  <c r="X414" i="1"/>
  <c r="O414" i="1" s="1"/>
  <c r="U342" i="1"/>
  <c r="X342" i="1"/>
  <c r="Z392" i="1"/>
  <c r="O353" i="1"/>
  <c r="Z353" i="1"/>
  <c r="U222" i="1"/>
  <c r="X222" i="1"/>
  <c r="X128" i="1"/>
  <c r="U128" i="1"/>
  <c r="X82" i="1"/>
  <c r="U82" i="1"/>
  <c r="U309" i="1"/>
  <c r="X309" i="1"/>
  <c r="O309" i="1" s="1"/>
  <c r="X187" i="1"/>
  <c r="O187" i="1" s="1"/>
  <c r="U187" i="1"/>
  <c r="X266" i="1"/>
  <c r="U266" i="1"/>
  <c r="U274" i="1"/>
  <c r="X274" i="1"/>
  <c r="X225" i="1"/>
  <c r="O225" i="1" s="1"/>
  <c r="U225" i="1"/>
  <c r="U9" i="1"/>
  <c r="X9" i="1"/>
  <c r="O9" i="1" s="1"/>
  <c r="U417" i="1"/>
  <c r="X417" i="1"/>
  <c r="O417" i="1" s="1"/>
  <c r="X220" i="1"/>
  <c r="O220" i="1" s="1"/>
  <c r="U220" i="1"/>
  <c r="O101" i="1"/>
  <c r="Z101" i="1"/>
  <c r="O77" i="1"/>
  <c r="Z77" i="1"/>
  <c r="U69" i="1"/>
  <c r="X69" i="1"/>
  <c r="O69" i="1" s="1"/>
  <c r="O159" i="1"/>
  <c r="Z279" i="1"/>
  <c r="X62" i="1"/>
  <c r="O62" i="1" s="1"/>
  <c r="U62" i="1"/>
  <c r="O53" i="1"/>
  <c r="O399" i="1"/>
  <c r="Z399" i="1"/>
  <c r="U408" i="1"/>
  <c r="X408" i="1"/>
  <c r="X214" i="1"/>
  <c r="U214" i="1"/>
  <c r="X116" i="1"/>
  <c r="U116" i="1"/>
  <c r="Z298" i="1"/>
  <c r="O298" i="1"/>
  <c r="X324" i="1"/>
  <c r="O324" i="1" s="1"/>
  <c r="U324" i="1"/>
  <c r="X247" i="1"/>
  <c r="U247" i="1"/>
  <c r="X241" i="1"/>
  <c r="O241" i="1" s="1"/>
  <c r="U241" i="1"/>
  <c r="Z187" i="1"/>
  <c r="X421" i="1"/>
  <c r="O421" i="1" s="1"/>
  <c r="U421" i="1"/>
  <c r="X142" i="1"/>
  <c r="U142" i="1"/>
  <c r="O545" i="1"/>
  <c r="Z211" i="1"/>
  <c r="O71" i="1"/>
  <c r="U33" i="1"/>
  <c r="X33" i="1"/>
  <c r="O33" i="1" s="1"/>
  <c r="X587" i="1"/>
  <c r="O587" i="1" s="1"/>
  <c r="U587" i="1"/>
  <c r="X275" i="1"/>
  <c r="O275" i="1" s="1"/>
  <c r="U275" i="1"/>
  <c r="O83" i="1"/>
  <c r="U210" i="1"/>
  <c r="X210" i="1"/>
  <c r="O273" i="1"/>
  <c r="Z261" i="1"/>
  <c r="O11" i="1"/>
  <c r="Z264" i="1"/>
  <c r="Z53" i="1"/>
  <c r="Z103" i="1"/>
  <c r="U104" i="1"/>
  <c r="X104" i="1"/>
  <c r="Z411" i="1"/>
  <c r="O411" i="1"/>
  <c r="U117" i="1"/>
  <c r="X117" i="1"/>
  <c r="O117" i="1" s="1"/>
  <c r="U459" i="1"/>
  <c r="X459" i="1"/>
  <c r="X70" i="1"/>
  <c r="U70" i="1"/>
  <c r="X209" i="1"/>
  <c r="U209" i="1"/>
  <c r="U429" i="1"/>
  <c r="X429" i="1"/>
  <c r="O429" i="1" s="1"/>
  <c r="X314" i="1"/>
  <c r="U314" i="1"/>
  <c r="X534" i="1"/>
  <c r="O534" i="1" s="1"/>
  <c r="U534" i="1"/>
  <c r="U123" i="1"/>
  <c r="X123" i="1"/>
  <c r="X131" i="1"/>
  <c r="O131" i="1" s="1"/>
  <c r="U131" i="1"/>
  <c r="O206" i="1"/>
  <c r="X212" i="1"/>
  <c r="O212" i="1" s="1"/>
  <c r="U212" i="1"/>
  <c r="Z24" i="1"/>
  <c r="X678" i="1"/>
  <c r="U678" i="1"/>
  <c r="U664" i="1"/>
  <c r="X664" i="1"/>
  <c r="Z669" i="1"/>
  <c r="U632" i="1"/>
  <c r="X632" i="1"/>
  <c r="X673" i="1"/>
  <c r="O673" i="1" s="1"/>
  <c r="U673" i="1"/>
  <c r="U606" i="1"/>
  <c r="X606" i="1"/>
  <c r="O580" i="1"/>
  <c r="Z580" i="1"/>
  <c r="Z579" i="1"/>
  <c r="O524" i="1"/>
  <c r="Z524" i="1"/>
  <c r="U515" i="1"/>
  <c r="X515" i="1"/>
  <c r="O515" i="1" s="1"/>
  <c r="X413" i="1"/>
  <c r="U413" i="1"/>
  <c r="O460" i="1"/>
  <c r="Z537" i="1"/>
  <c r="O519" i="1"/>
  <c r="Z519" i="1"/>
  <c r="U318" i="1"/>
  <c r="X318" i="1"/>
  <c r="O318" i="1" s="1"/>
  <c r="X412" i="1"/>
  <c r="O412" i="1" s="1"/>
  <c r="U412" i="1"/>
  <c r="O468" i="1"/>
  <c r="X426" i="1"/>
  <c r="U426" i="1"/>
  <c r="X200" i="1"/>
  <c r="U200" i="1"/>
  <c r="X92" i="1"/>
  <c r="U92" i="1"/>
  <c r="X283" i="1"/>
  <c r="O283" i="1" s="1"/>
  <c r="U283" i="1"/>
  <c r="X262" i="1"/>
  <c r="O262" i="1" s="1"/>
  <c r="U262" i="1"/>
  <c r="X299" i="1"/>
  <c r="O299" i="1" s="1"/>
  <c r="U299" i="1"/>
  <c r="O223" i="1"/>
  <c r="Z223" i="1"/>
  <c r="X165" i="1"/>
  <c r="U165" i="1"/>
  <c r="X238" i="1"/>
  <c r="O238" i="1" s="1"/>
  <c r="U238" i="1"/>
  <c r="X371" i="1"/>
  <c r="O371" i="1" s="1"/>
  <c r="U371" i="1"/>
  <c r="O240" i="1"/>
  <c r="X190" i="1"/>
  <c r="O190" i="1" s="1"/>
  <c r="U190" i="1"/>
  <c r="O31" i="1"/>
  <c r="Z31" i="1"/>
  <c r="X263" i="1"/>
  <c r="U263" i="1"/>
  <c r="X485" i="1"/>
  <c r="O485" i="1" s="1"/>
  <c r="U485" i="1"/>
  <c r="O169" i="1"/>
  <c r="Z406" i="1"/>
  <c r="U105" i="1"/>
  <c r="X105" i="1"/>
  <c r="O105" i="1" s="1"/>
  <c r="X24" i="1"/>
  <c r="O24" i="1" s="1"/>
  <c r="U24" i="1"/>
  <c r="X188" i="1"/>
  <c r="O188" i="1" s="1"/>
  <c r="U188" i="1"/>
  <c r="Z159" i="1"/>
  <c r="U479" i="1"/>
  <c r="X479" i="1"/>
  <c r="O479" i="1" s="1"/>
  <c r="X530" i="1"/>
  <c r="O530" i="1" s="1"/>
  <c r="U530" i="1"/>
  <c r="U372" i="1"/>
  <c r="X372" i="1"/>
  <c r="O372" i="1" s="1"/>
  <c r="X493" i="1"/>
  <c r="O493" i="1" s="1"/>
  <c r="U493" i="1"/>
  <c r="U404" i="1"/>
  <c r="X404" i="1"/>
  <c r="O404" i="1" s="1"/>
  <c r="X193" i="1"/>
  <c r="U193" i="1"/>
  <c r="X80" i="1"/>
  <c r="U80" i="1"/>
  <c r="X547" i="1"/>
  <c r="U547" i="1"/>
  <c r="U466" i="1"/>
  <c r="X466" i="1"/>
  <c r="O466" i="1" s="1"/>
  <c r="X58" i="1"/>
  <c r="U58" i="1"/>
  <c r="U134" i="1"/>
  <c r="X134" i="1"/>
  <c r="X175" i="1"/>
  <c r="U175" i="1"/>
  <c r="Z179" i="1"/>
  <c r="Z424" i="1"/>
  <c r="X260" i="1"/>
  <c r="U260" i="1"/>
  <c r="U122" i="1"/>
  <c r="X122" i="1"/>
  <c r="O122" i="1" s="1"/>
  <c r="X362" i="1"/>
  <c r="O362" i="1" s="1"/>
  <c r="U362" i="1"/>
  <c r="Z17" i="1"/>
  <c r="Z21" i="1"/>
  <c r="X50" i="1"/>
  <c r="U50" i="1"/>
  <c r="O195" i="1"/>
  <c r="X388" i="1"/>
  <c r="O388" i="1" s="1"/>
  <c r="U388" i="1"/>
  <c r="X135" i="1"/>
  <c r="U135" i="1"/>
  <c r="X72" i="1"/>
  <c r="O72" i="1" s="1"/>
  <c r="U72" i="1"/>
  <c r="U204" i="1"/>
  <c r="X204" i="1"/>
  <c r="O204" i="1" s="1"/>
  <c r="X182" i="1"/>
  <c r="U182" i="1"/>
  <c r="X87" i="1"/>
  <c r="U87" i="1"/>
  <c r="O633" i="1"/>
  <c r="Z370" i="1"/>
  <c r="Z45" i="1" l="1"/>
  <c r="Z454" i="1"/>
  <c r="Z626" i="1"/>
  <c r="O40" i="1"/>
  <c r="Z40" i="1"/>
  <c r="Z467" i="1"/>
  <c r="Z313" i="1"/>
  <c r="Z30" i="1"/>
  <c r="O30" i="1"/>
  <c r="Z276" i="1"/>
  <c r="O276" i="1"/>
  <c r="Z583" i="1"/>
  <c r="Z386" i="1"/>
  <c r="Z660" i="1"/>
  <c r="Z355" i="1"/>
  <c r="Z93" i="1"/>
  <c r="Z528" i="1"/>
  <c r="O66" i="1"/>
  <c r="Z66" i="1"/>
  <c r="Z281" i="1"/>
  <c r="Z521" i="1"/>
  <c r="O563" i="1"/>
  <c r="O655" i="1"/>
  <c r="O436" i="1"/>
  <c r="Z436" i="1"/>
  <c r="O124" i="1"/>
  <c r="Z520" i="1"/>
  <c r="Z57" i="1"/>
  <c r="Z675" i="1"/>
  <c r="O15" i="1"/>
  <c r="Z432" i="1"/>
  <c r="Z477" i="1"/>
  <c r="O504" i="1"/>
  <c r="Z505" i="1"/>
  <c r="O249" i="1"/>
  <c r="Z249" i="1"/>
  <c r="Z296" i="1"/>
  <c r="Z622" i="1"/>
  <c r="Z81" i="1"/>
  <c r="Z381" i="1"/>
  <c r="O381" i="1"/>
  <c r="O577" i="1"/>
  <c r="O48" i="1"/>
  <c r="Z357" i="1"/>
  <c r="O643" i="1"/>
  <c r="Z643" i="1"/>
  <c r="Z656" i="1"/>
  <c r="Z321" i="1"/>
  <c r="Z602" i="1"/>
  <c r="Z397" i="1"/>
  <c r="Z127" i="1"/>
  <c r="O127" i="1"/>
  <c r="Z173" i="1"/>
  <c r="Z525" i="1"/>
  <c r="O697" i="1"/>
  <c r="O556" i="1"/>
  <c r="Z418" i="1"/>
  <c r="Z287" i="1"/>
  <c r="Z657" i="1"/>
  <c r="O290" i="1"/>
  <c r="Z290" i="1"/>
  <c r="O531" i="1"/>
  <c r="Z531" i="1"/>
  <c r="Z476" i="1"/>
  <c r="Z336" i="1"/>
  <c r="Z188" i="1"/>
  <c r="Z302" i="1"/>
  <c r="O302" i="1"/>
  <c r="Z398" i="1"/>
  <c r="O398" i="1"/>
  <c r="Z593" i="1"/>
  <c r="Z636" i="1"/>
  <c r="Z369" i="1"/>
  <c r="Z405" i="1"/>
  <c r="Z401" i="1"/>
  <c r="O213" i="1"/>
  <c r="O28" i="1"/>
  <c r="Z435" i="1"/>
  <c r="O435" i="1"/>
  <c r="O54" i="1"/>
  <c r="Z608" i="1"/>
  <c r="O608" i="1"/>
  <c r="Z303" i="1"/>
  <c r="Z621" i="1"/>
  <c r="Z191" i="1"/>
  <c r="Z594" i="1"/>
  <c r="Z644" i="1"/>
  <c r="Z115" i="1"/>
  <c r="O115" i="1"/>
  <c r="O470" i="1"/>
  <c r="Z470" i="1"/>
  <c r="Z114" i="1"/>
  <c r="O114" i="1"/>
  <c r="O687" i="1"/>
  <c r="O542" i="1"/>
  <c r="Z414" i="1"/>
  <c r="Z650" i="1"/>
  <c r="O312" i="1"/>
  <c r="Z312" i="1"/>
  <c r="Z73" i="1"/>
  <c r="Z316" i="1"/>
  <c r="O560" i="1"/>
  <c r="Z560" i="1"/>
  <c r="Z362" i="1"/>
  <c r="Z568" i="1"/>
  <c r="O568" i="1"/>
  <c r="Z343" i="1"/>
  <c r="O343" i="1"/>
  <c r="O437" i="1"/>
  <c r="Z437" i="1"/>
  <c r="Z493" i="1"/>
  <c r="Z62" i="1"/>
  <c r="Z251" i="1"/>
  <c r="Z9" i="1"/>
  <c r="Z395" i="1"/>
  <c r="O239" i="1"/>
  <c r="Z239" i="1"/>
  <c r="O554" i="1"/>
  <c r="Z554" i="1"/>
  <c r="Z310" i="1"/>
  <c r="O310" i="1"/>
  <c r="O257" i="1"/>
  <c r="Z257" i="1"/>
  <c r="Z219" i="1"/>
  <c r="O219" i="1"/>
  <c r="Z696" i="1"/>
  <c r="O696" i="1"/>
  <c r="Z42" i="1"/>
  <c r="O42" i="1"/>
  <c r="Z623" i="1"/>
  <c r="Z190" i="1"/>
  <c r="Z518" i="1"/>
  <c r="O400" i="1"/>
  <c r="Z400" i="1"/>
  <c r="O685" i="1"/>
  <c r="Z63" i="1"/>
  <c r="O603" i="1"/>
  <c r="Z591" i="1"/>
  <c r="O591" i="1"/>
  <c r="Z364" i="1"/>
  <c r="O620" i="1"/>
  <c r="Z620" i="1"/>
  <c r="O327" i="1"/>
  <c r="Z327" i="1"/>
  <c r="O688" i="1"/>
  <c r="Z688" i="1"/>
  <c r="Z349" i="1"/>
  <c r="Z184" i="1"/>
  <c r="Z141" i="1"/>
  <c r="Z372" i="1"/>
  <c r="Z51" i="1"/>
  <c r="Z673" i="1"/>
  <c r="O88" i="1"/>
  <c r="Z693" i="1"/>
  <c r="O693" i="1"/>
  <c r="Z153" i="1"/>
  <c r="O307" i="1"/>
  <c r="Z307" i="1"/>
  <c r="O640" i="1"/>
  <c r="Z640" i="1"/>
  <c r="O415" i="1"/>
  <c r="Z415" i="1"/>
  <c r="O394" i="1"/>
  <c r="Z394" i="1"/>
  <c r="Z238" i="1"/>
  <c r="Z154" i="1"/>
  <c r="Z131" i="1"/>
  <c r="O269" i="1"/>
  <c r="Z269" i="1"/>
  <c r="O379" i="1"/>
  <c r="Z379" i="1"/>
  <c r="Z629" i="1"/>
  <c r="Z661" i="1"/>
  <c r="O661" i="1"/>
  <c r="O332" i="1"/>
  <c r="Z332" i="1"/>
  <c r="Z488" i="1"/>
  <c r="Z570" i="1"/>
  <c r="Z158" i="1"/>
  <c r="Z194" i="1"/>
  <c r="Z27" i="1"/>
  <c r="Z530" i="1"/>
  <c r="Z532" i="1"/>
  <c r="Z252" i="1"/>
  <c r="O174" i="1"/>
  <c r="Z174" i="1"/>
  <c r="Z587" i="1"/>
  <c r="Z105" i="1"/>
  <c r="Z466" i="1"/>
  <c r="Z99" i="1"/>
  <c r="Z447" i="1"/>
  <c r="Z681" i="1"/>
  <c r="O416" i="1"/>
  <c r="Z416" i="1"/>
  <c r="Z139" i="1"/>
  <c r="O139" i="1"/>
  <c r="Z60" i="1"/>
  <c r="O209" i="1"/>
  <c r="Z209" i="1"/>
  <c r="O94" i="1"/>
  <c r="Z94" i="1"/>
  <c r="O175" i="1"/>
  <c r="Z175" i="1"/>
  <c r="O92" i="1"/>
  <c r="Z92" i="1"/>
  <c r="O664" i="1"/>
  <c r="Z664" i="1"/>
  <c r="O637" i="1"/>
  <c r="Z637" i="1"/>
  <c r="O47" i="1"/>
  <c r="Z47" i="1"/>
  <c r="Z229" i="1"/>
  <c r="O229" i="1"/>
  <c r="O74" i="1"/>
  <c r="Z74" i="1"/>
  <c r="O284" i="1"/>
  <c r="Z284" i="1"/>
  <c r="Z508" i="1"/>
  <c r="Z272" i="1"/>
  <c r="O20" i="1"/>
  <c r="Z20" i="1"/>
  <c r="O465" i="1"/>
  <c r="Z465" i="1"/>
  <c r="Z631" i="1"/>
  <c r="Z237" i="1"/>
  <c r="Z484" i="1"/>
  <c r="Z540" i="1"/>
  <c r="Z490" i="1"/>
  <c r="O178" i="1"/>
  <c r="Z178" i="1"/>
  <c r="Z390" i="1"/>
  <c r="O116" i="1"/>
  <c r="Z116" i="1"/>
  <c r="O451" i="1"/>
  <c r="Z451" i="1"/>
  <c r="Z480" i="1"/>
  <c r="O164" i="1"/>
  <c r="Z164" i="1"/>
  <c r="O180" i="1"/>
  <c r="Z180" i="1"/>
  <c r="Z479" i="1"/>
  <c r="Z305" i="1"/>
  <c r="O305" i="1"/>
  <c r="O538" i="1"/>
  <c r="Z538" i="1"/>
  <c r="Z268" i="1"/>
  <c r="O95" i="1"/>
  <c r="Z95" i="1"/>
  <c r="O230" i="1"/>
  <c r="Z230" i="1"/>
  <c r="Z204" i="1"/>
  <c r="O68" i="1"/>
  <c r="Z68" i="1"/>
  <c r="Z515" i="1"/>
  <c r="Z588" i="1"/>
  <c r="O679" i="1"/>
  <c r="Z679" i="1"/>
  <c r="Z161" i="1"/>
  <c r="O259" i="1"/>
  <c r="Z259" i="1"/>
  <c r="O619" i="1"/>
  <c r="Z619" i="1"/>
  <c r="O186" i="1"/>
  <c r="Z186" i="1"/>
  <c r="Z337" i="1"/>
  <c r="O87" i="1"/>
  <c r="Z87" i="1"/>
  <c r="Z283" i="1"/>
  <c r="Z388" i="1"/>
  <c r="O200" i="1"/>
  <c r="Z200" i="1"/>
  <c r="O459" i="1"/>
  <c r="Z459" i="1"/>
  <c r="O142" i="1"/>
  <c r="Z142" i="1"/>
  <c r="Z534" i="1"/>
  <c r="O408" i="1"/>
  <c r="Z408" i="1"/>
  <c r="Z69" i="1"/>
  <c r="O250" i="1"/>
  <c r="Z250" i="1"/>
  <c r="O8" i="1"/>
  <c r="Z8" i="1"/>
  <c r="O586" i="1"/>
  <c r="Z586" i="1"/>
  <c r="O157" i="1"/>
  <c r="Z157" i="1"/>
  <c r="O44" i="1"/>
  <c r="Z44" i="1"/>
  <c r="Z412" i="1"/>
  <c r="O700" i="1"/>
  <c r="Z700" i="1"/>
  <c r="O678" i="1"/>
  <c r="Z678" i="1"/>
  <c r="Z371" i="1"/>
  <c r="Z262" i="1"/>
  <c r="Z212" i="1"/>
  <c r="Z225" i="1"/>
  <c r="O214" i="1"/>
  <c r="Z214" i="1"/>
  <c r="O266" i="1"/>
  <c r="Z266" i="1"/>
  <c r="O308" i="1"/>
  <c r="Z308" i="1"/>
  <c r="O34" i="1"/>
  <c r="Z34" i="1"/>
  <c r="O176" i="1"/>
  <c r="Z176" i="1"/>
  <c r="O110" i="1"/>
  <c r="Z110" i="1"/>
  <c r="O203" i="1"/>
  <c r="Z203" i="1"/>
  <c r="Z450" i="1"/>
  <c r="O450" i="1"/>
  <c r="Z611" i="1"/>
  <c r="O611" i="1"/>
  <c r="O22" i="1"/>
  <c r="Z22" i="1"/>
  <c r="Z407" i="1"/>
  <c r="O150" i="1"/>
  <c r="Z150" i="1"/>
  <c r="Z320" i="1"/>
  <c r="Z354" i="1"/>
  <c r="O550" i="1"/>
  <c r="Z550" i="1"/>
  <c r="Z256" i="1"/>
  <c r="O258" i="1"/>
  <c r="Z258" i="1"/>
  <c r="O607" i="1"/>
  <c r="Z607" i="1"/>
  <c r="Z265" i="1"/>
  <c r="O265" i="1"/>
  <c r="O624" i="1"/>
  <c r="Z624" i="1"/>
  <c r="Z86" i="1"/>
  <c r="Z464" i="1"/>
  <c r="Z425" i="1"/>
  <c r="Z665" i="1"/>
  <c r="O227" i="1"/>
  <c r="Z227" i="1"/>
  <c r="O182" i="1"/>
  <c r="Z182" i="1"/>
  <c r="O89" i="1"/>
  <c r="Z89" i="1"/>
  <c r="O65" i="1"/>
  <c r="Z65" i="1"/>
  <c r="O651" i="1"/>
  <c r="Z651" i="1"/>
  <c r="O606" i="1"/>
  <c r="Z606" i="1"/>
  <c r="O236" i="1"/>
  <c r="Z236" i="1"/>
  <c r="O649" i="1"/>
  <c r="Z649" i="1"/>
  <c r="Z485" i="1"/>
  <c r="O260" i="1"/>
  <c r="Z260" i="1"/>
  <c r="O134" i="1"/>
  <c r="Z134" i="1"/>
  <c r="O80" i="1"/>
  <c r="Z80" i="1"/>
  <c r="O263" i="1"/>
  <c r="Z263" i="1"/>
  <c r="O123" i="1"/>
  <c r="Z123" i="1"/>
  <c r="Z129" i="1"/>
  <c r="O222" i="1"/>
  <c r="Z222" i="1"/>
  <c r="O35" i="1"/>
  <c r="Z35" i="1"/>
  <c r="O10" i="1"/>
  <c r="Z10" i="1"/>
  <c r="O439" i="1"/>
  <c r="Z439" i="1"/>
  <c r="O46" i="1"/>
  <c r="Z46" i="1"/>
  <c r="Z496" i="1"/>
  <c r="O695" i="1"/>
  <c r="Z695" i="1"/>
  <c r="Z446" i="1"/>
  <c r="O572" i="1"/>
  <c r="Z572" i="1"/>
  <c r="Z458" i="1"/>
  <c r="O453" i="1"/>
  <c r="Z453" i="1"/>
  <c r="Z444" i="1"/>
  <c r="O648" i="1"/>
  <c r="Z648" i="1"/>
  <c r="O135" i="1"/>
  <c r="Z135" i="1"/>
  <c r="O106" i="1"/>
  <c r="Z106" i="1"/>
  <c r="O571" i="1"/>
  <c r="Z571" i="1"/>
  <c r="Z309" i="1"/>
  <c r="Z421" i="1"/>
  <c r="O82" i="1"/>
  <c r="Z82" i="1"/>
  <c r="Z573" i="1"/>
  <c r="Z393" i="1"/>
  <c r="O233" i="1"/>
  <c r="Z233" i="1"/>
  <c r="Z335" i="1"/>
  <c r="O143" i="1"/>
  <c r="Z143" i="1"/>
  <c r="O672" i="1"/>
  <c r="Z672" i="1"/>
  <c r="O686" i="1"/>
  <c r="Z686" i="1"/>
  <c r="Z122" i="1"/>
  <c r="O475" i="1"/>
  <c r="Z475" i="1"/>
  <c r="Z345" i="1"/>
  <c r="O348" i="1"/>
  <c r="Z348" i="1"/>
  <c r="O384" i="1"/>
  <c r="Z384" i="1"/>
  <c r="O455" i="1"/>
  <c r="Z455" i="1"/>
  <c r="O165" i="1"/>
  <c r="Z165" i="1"/>
  <c r="O314" i="1"/>
  <c r="Z314" i="1"/>
  <c r="O38" i="1"/>
  <c r="Z38" i="1"/>
  <c r="O13" i="1"/>
  <c r="Z13" i="1"/>
  <c r="O366" i="1"/>
  <c r="Z366" i="1"/>
  <c r="O641" i="1"/>
  <c r="Z641" i="1"/>
  <c r="Z117" i="1"/>
  <c r="O293" i="1"/>
  <c r="Z293" i="1"/>
  <c r="Z96" i="1"/>
  <c r="O145" i="1"/>
  <c r="Z145" i="1"/>
  <c r="Z380" i="1"/>
  <c r="O380" i="1"/>
  <c r="O562" i="1"/>
  <c r="Z562" i="1"/>
  <c r="O329" i="1"/>
  <c r="Z329" i="1"/>
  <c r="Z318" i="1"/>
  <c r="O342" i="1"/>
  <c r="Z342" i="1"/>
  <c r="O680" i="1"/>
  <c r="Z680" i="1"/>
  <c r="O70" i="1"/>
  <c r="Z70" i="1"/>
  <c r="O125" i="1"/>
  <c r="Z125" i="1"/>
  <c r="Z299" i="1"/>
  <c r="O413" i="1"/>
  <c r="Z413" i="1"/>
  <c r="Z275" i="1"/>
  <c r="O274" i="1"/>
  <c r="Z274" i="1"/>
  <c r="Z344" i="1"/>
  <c r="O344" i="1"/>
  <c r="O58" i="1"/>
  <c r="Z58" i="1"/>
  <c r="Z72" i="1"/>
  <c r="Z429" i="1"/>
  <c r="Z512" i="1"/>
  <c r="Z543" i="1"/>
  <c r="Z417" i="1"/>
  <c r="O247" i="1"/>
  <c r="Z247" i="1"/>
  <c r="Z253" i="1"/>
  <c r="Z241" i="1"/>
  <c r="O668" i="1"/>
  <c r="Z668" i="1"/>
  <c r="Z220" i="1"/>
  <c r="O140" i="1"/>
  <c r="Z140" i="1"/>
  <c r="Z347" i="1"/>
  <c r="O32" i="1"/>
  <c r="Z32" i="1"/>
  <c r="Z181" i="1"/>
  <c r="Z404" i="1"/>
  <c r="Z215" i="1"/>
  <c r="O326" i="1"/>
  <c r="Z326" i="1"/>
  <c r="Z582" i="1"/>
  <c r="O690" i="1"/>
  <c r="Z690" i="1"/>
  <c r="Z333" i="1"/>
  <c r="Z702" i="1"/>
  <c r="O56" i="1"/>
  <c r="Z56" i="1"/>
  <c r="O692" i="1"/>
  <c r="Z692" i="1"/>
  <c r="O701" i="1"/>
  <c r="Z701" i="1"/>
  <c r="O377" i="1"/>
  <c r="Z377" i="1"/>
  <c r="O50" i="1"/>
  <c r="Z50" i="1"/>
  <c r="O210" i="1"/>
  <c r="Z210" i="1"/>
  <c r="Z306" i="1"/>
  <c r="O306" i="1"/>
  <c r="Z365" i="1"/>
  <c r="O365" i="1"/>
  <c r="O396" i="1"/>
  <c r="Z396" i="1"/>
  <c r="O547" i="1"/>
  <c r="Z547" i="1"/>
  <c r="O539" i="1"/>
  <c r="Z539" i="1"/>
  <c r="O130" i="1"/>
  <c r="Z130" i="1"/>
  <c r="O632" i="1"/>
  <c r="Z632" i="1"/>
  <c r="O128" i="1"/>
  <c r="Z128" i="1"/>
  <c r="O440" i="1"/>
  <c r="Z440" i="1"/>
  <c r="O193" i="1"/>
  <c r="Z193" i="1"/>
  <c r="Z33" i="1"/>
  <c r="O426" i="1"/>
  <c r="Z426" i="1"/>
  <c r="Z324" i="1"/>
  <c r="O104" i="1"/>
  <c r="Z104" i="1"/>
  <c r="Z576" i="1"/>
  <c r="O356" i="1"/>
  <c r="Z356" i="1"/>
  <c r="O330" i="1"/>
  <c r="Z330" i="1"/>
  <c r="O613" i="1"/>
  <c r="Z613" i="1"/>
  <c r="O341" i="1"/>
  <c r="Z341" i="1"/>
  <c r="Z564" i="1"/>
  <c r="Z645" i="1"/>
  <c r="Z653" i="1"/>
  <c r="Z14" i="1"/>
  <c r="Z297" i="1"/>
  <c r="O373" i="1"/>
  <c r="Z373" i="1"/>
  <c r="Z511" i="1"/>
  <c r="O168" i="1"/>
  <c r="Z168" i="1"/>
  <c r="Z132" i="1"/>
  <c r="O487" i="1"/>
  <c r="Z487" i="1"/>
  <c r="O691" i="1"/>
  <c r="Z691" i="1"/>
  <c r="O659" i="1"/>
  <c r="Z659" i="1"/>
  <c r="Z670" i="1"/>
  <c r="O430" i="1"/>
  <c r="Z430" i="1"/>
  <c r="O197" i="1"/>
  <c r="Z197" i="1"/>
</calcChain>
</file>

<file path=xl/sharedStrings.xml><?xml version="1.0" encoding="utf-8"?>
<sst xmlns="http://schemas.openxmlformats.org/spreadsheetml/2006/main" count="4790" uniqueCount="1006">
  <si>
    <t>PO multiplier</t>
  </si>
  <si>
    <t>Exchange rate</t>
  </si>
  <si>
    <t>JPY</t>
  </si>
  <si>
    <t>USD</t>
  </si>
  <si>
    <t>Category</t>
  </si>
  <si>
    <t xml:space="preserve">Previous Model No. </t>
  </si>
  <si>
    <t xml:space="preserve">New Model No. </t>
  </si>
  <si>
    <t xml:space="preserve">Unit </t>
  </si>
  <si>
    <t>Manufacturer's suggested 
retail price</t>
  </si>
  <si>
    <t>(New) Manufacturer's suggested 
retail price</t>
  </si>
  <si>
    <t>Conversion to FT</t>
  </si>
  <si>
    <t>% dif for cost</t>
  </si>
  <si>
    <t>(TTCL Internal Use)
PO Price</t>
  </si>
  <si>
    <t>PO price
JPY/USD</t>
  </si>
  <si>
    <t>PO price currency</t>
  </si>
  <si>
    <t>REMARK (internal)</t>
  </si>
  <si>
    <t>(TTCL Internal Use)
 THB Cost</t>
  </si>
  <si>
    <t>(TTCL Internal Use)
GP</t>
  </si>
  <si>
    <t>Pricelist Name</t>
  </si>
  <si>
    <t>Multipiler</t>
  </si>
  <si>
    <t>Make same Price as Standard Price (THB)
=JPY/USD*Mul.</t>
  </si>
  <si>
    <t>(New)
Make same Price as Standard Price</t>
  </si>
  <si>
    <t>Standard Price (THB)
*Copy from excel</t>
  </si>
  <si>
    <t>เช็คความต่าง %</t>
  </si>
  <si>
    <t>DIST. PL
 MUL.</t>
  </si>
  <si>
    <t>Dist. Ex rate</t>
  </si>
  <si>
    <t>Unit price (THB)</t>
  </si>
  <si>
    <t>(NEW) Unit price (THB)</t>
  </si>
  <si>
    <t>% dif for Unit price (SP)</t>
  </si>
  <si>
    <t>Status</t>
  </si>
  <si>
    <t>Supplier Name</t>
  </si>
  <si>
    <t>Stock Reference 
(RPP)</t>
  </si>
  <si>
    <t>Cutting &amp;
Assembly</t>
  </si>
  <si>
    <t>Detail</t>
  </si>
  <si>
    <t>L13</t>
  </si>
  <si>
    <t>GMTA010-18L5V1</t>
  </si>
  <si>
    <t>SET</t>
  </si>
  <si>
    <t>JPY(¥)</t>
  </si>
  <si>
    <t>No cost data from MC, input manually</t>
  </si>
  <si>
    <t>PTUC PRODUCT (KTE )</t>
  </si>
  <si>
    <t>MC</t>
  </si>
  <si>
    <t>GMTA010-18L5BV1</t>
  </si>
  <si>
    <t>GMTA010-18L10V1</t>
  </si>
  <si>
    <t>GMTA010-18L10BV1</t>
  </si>
  <si>
    <t>GMTA010-18L15V1</t>
  </si>
  <si>
    <t>GMTA010-18L15BV1</t>
  </si>
  <si>
    <t>GMTA010-18L20V1</t>
  </si>
  <si>
    <t>GMTA010-18L20BV1</t>
  </si>
  <si>
    <t>GMTA010-18L25V1</t>
  </si>
  <si>
    <t>GMTA010-18L25BV1</t>
  </si>
  <si>
    <t>GMTA010-18L30V1</t>
  </si>
  <si>
    <t>GMTA010-18L30BV1</t>
  </si>
  <si>
    <t>GMTA010-18L40V1</t>
  </si>
  <si>
    <t>GMTA010-18L40BV1</t>
  </si>
  <si>
    <t>GMTA010-18L50V1</t>
  </si>
  <si>
    <t>GMTA010-18L50BV1</t>
  </si>
  <si>
    <t>GMTA010-24L60V1</t>
  </si>
  <si>
    <t>GMTA010-24L60BV1</t>
  </si>
  <si>
    <t>GMTA010-24L75V1</t>
  </si>
  <si>
    <t>GMTA010-24L75BV1</t>
  </si>
  <si>
    <t>GMTA010-24L100V1</t>
  </si>
  <si>
    <t>GMTA010-24L100BV1</t>
  </si>
  <si>
    <t>GMTA020-18L5V1</t>
  </si>
  <si>
    <t>GMTA020-18L5BV1</t>
  </si>
  <si>
    <t>GMTA020-18L10V1</t>
  </si>
  <si>
    <t>GMTA020-18L10BV1</t>
  </si>
  <si>
    <t>GMTA020-18L15V1</t>
  </si>
  <si>
    <t>GMTA020-18L15BV1</t>
  </si>
  <si>
    <t>GMTA020-18L20V1</t>
  </si>
  <si>
    <t>GMTA020-18L20BV1</t>
  </si>
  <si>
    <t>GMTA020-18L25V1</t>
  </si>
  <si>
    <t>GMTA020-18L25BV1</t>
  </si>
  <si>
    <t>GMTA020-24L30V1</t>
  </si>
  <si>
    <t>GMTA020-24L30BV1</t>
  </si>
  <si>
    <t>GMTA020-24L40V1</t>
  </si>
  <si>
    <t>GMTA020-24L40BV1</t>
  </si>
  <si>
    <t>GMTA020-24L50V1</t>
  </si>
  <si>
    <t>GMTA020-24L50BV1</t>
  </si>
  <si>
    <t>GMTA020-24L60V1</t>
  </si>
  <si>
    <t>GMTA020-24L60BV1</t>
  </si>
  <si>
    <t>GMTA020-24L75V1</t>
  </si>
  <si>
    <t>GMTA020-24L75BV1</t>
  </si>
  <si>
    <t>GMTA020-28L100V1</t>
  </si>
  <si>
    <t>GMTA020-28L100BV1</t>
  </si>
  <si>
    <t>GMTA040-24L5V1</t>
  </si>
  <si>
    <t>GMTA040-24L5BV1</t>
  </si>
  <si>
    <t>GMTA040-24L10V1</t>
  </si>
  <si>
    <t>GMTA040-24L10BV1</t>
  </si>
  <si>
    <t>GMTA040-24L15V1</t>
  </si>
  <si>
    <t>GMTA040-24L15BV1</t>
  </si>
  <si>
    <t>GMTA040-24L20V1</t>
  </si>
  <si>
    <t>GMTA040-24L20BV1</t>
  </si>
  <si>
    <t>GMTA040-24L25V1</t>
  </si>
  <si>
    <t>GMTA040-24L25BV1</t>
  </si>
  <si>
    <t>GMTA040-28L30V1</t>
  </si>
  <si>
    <t>GMTA040-28L30BV1</t>
  </si>
  <si>
    <t>GMTA040-28L40V1</t>
  </si>
  <si>
    <t>GMTA040-28L40BV1</t>
  </si>
  <si>
    <t>GMTA040-28L50V1</t>
  </si>
  <si>
    <t>GMTA040-28L50BV1</t>
  </si>
  <si>
    <t>GMTA040-28L60V1</t>
  </si>
  <si>
    <t>GMTA040-28L60BV1</t>
  </si>
  <si>
    <t>GMTA040-28L75V1</t>
  </si>
  <si>
    <t>GMTA040-28L75BV1</t>
  </si>
  <si>
    <t>GMTA040-38L100V1</t>
  </si>
  <si>
    <t>GMTA040-38L100BV1</t>
  </si>
  <si>
    <t>L15</t>
  </si>
  <si>
    <t>HMTA010-22L5LV1</t>
  </si>
  <si>
    <t>HMTA010-22L5LBV1</t>
  </si>
  <si>
    <t>HMTA010-22L10LV1</t>
  </si>
  <si>
    <t>HMTA010-22L10LBV1</t>
  </si>
  <si>
    <t>HMTA010-22L15LV1</t>
  </si>
  <si>
    <t>HMTA010-22L15LBV1</t>
  </si>
  <si>
    <t>HMTA010-22L20LV1</t>
  </si>
  <si>
    <t>HMTA010-22L20LBV1</t>
  </si>
  <si>
    <t>HMTA010-22L25LV1</t>
  </si>
  <si>
    <t>HMTA010-22L25LBV1</t>
  </si>
  <si>
    <t>HMTA010-22L30LV1</t>
  </si>
  <si>
    <t>HMTA010-22L30LBV1</t>
  </si>
  <si>
    <t>HMTA010-22L40LV1</t>
  </si>
  <si>
    <t>HMTA010-22L40LBV1</t>
  </si>
  <si>
    <t>HMTA010-22L50LV1</t>
  </si>
  <si>
    <t>HMTA010-22L50LBV1</t>
  </si>
  <si>
    <t>HMTA010-22L60LV1</t>
  </si>
  <si>
    <t>HMTA010-22L60LBV1</t>
  </si>
  <si>
    <t>HMTA010-22L80LV1</t>
  </si>
  <si>
    <t>HMTA010-22L80LBV1</t>
  </si>
  <si>
    <t>HMTA010-22L100LV1</t>
  </si>
  <si>
    <t>HMTA010-22L100LBV1</t>
  </si>
  <si>
    <t>HMTA020-22L5LV1</t>
  </si>
  <si>
    <t>HMTA020-22L5LBV1</t>
  </si>
  <si>
    <t>HMTA020-22L10LV1</t>
  </si>
  <si>
    <t>HMTA020-22L10LBV1</t>
  </si>
  <si>
    <t>HMTA020-22L15LV1</t>
  </si>
  <si>
    <t>HMTA020-22L15LBV1</t>
  </si>
  <si>
    <t>HMTA020-22L20LV1</t>
  </si>
  <si>
    <t>HMTA020-22L20LBV1</t>
  </si>
  <si>
    <t>HMTA020-22L25LV1</t>
  </si>
  <si>
    <t>HMTA020-22L25LBV1</t>
  </si>
  <si>
    <t>HMTA020-22L30LV1</t>
  </si>
  <si>
    <t>HMTA020-22L30LBV1</t>
  </si>
  <si>
    <t>HMTA020-22L40LV1</t>
  </si>
  <si>
    <t>HMTA020-22L40LBV1</t>
  </si>
  <si>
    <t>HMTA020-22L50LV1</t>
  </si>
  <si>
    <t>HMTA020-22L50LBV1</t>
  </si>
  <si>
    <t>HMTA020-22L60LV1</t>
  </si>
  <si>
    <t>HMTA020-22L60LBV1</t>
  </si>
  <si>
    <t>HMTA020-28L80LV1</t>
  </si>
  <si>
    <t>HMTA020-28L80LBV1</t>
  </si>
  <si>
    <t>HMTA020-28L100LV1</t>
  </si>
  <si>
    <t>HMTA020-28L100LBV1</t>
  </si>
  <si>
    <t>HMTA040-28L5LV1</t>
  </si>
  <si>
    <t>HMTA040-28L5LBV1</t>
  </si>
  <si>
    <t>HMTA040-28L10LV1</t>
  </si>
  <si>
    <t>HMTA040-28L10LBV1</t>
  </si>
  <si>
    <t>HMTA040-28L15LV1</t>
  </si>
  <si>
    <t>HMTA040-28L15LBV1</t>
  </si>
  <si>
    <t>HMTA040-28L20LV1</t>
  </si>
  <si>
    <t>HMTA040-28L20LBV1</t>
  </si>
  <si>
    <t>HMTA040-28L25LV1</t>
  </si>
  <si>
    <t>HMTA040-28L25LBV1</t>
  </si>
  <si>
    <t>HMTA040-28L30LV1</t>
  </si>
  <si>
    <t>HMTA040-28L30LBV1</t>
  </si>
  <si>
    <t>HMTA040-28L40LV1</t>
  </si>
  <si>
    <t>HMTA040-28L40LBV1</t>
  </si>
  <si>
    <t>HMTA040-28L50LV1</t>
  </si>
  <si>
    <t>HMTA040-28L50LBV1</t>
  </si>
  <si>
    <t>HMTA040-38L60LV1</t>
  </si>
  <si>
    <t>HMTA040-38L60LBV1</t>
  </si>
  <si>
    <t>HMTA040-38L80LV1</t>
  </si>
  <si>
    <t>HMTA040-38L80LBV1</t>
  </si>
  <si>
    <t>HMTA040-38L100LV1</t>
  </si>
  <si>
    <t>HMTA040-38L100LBV1</t>
  </si>
  <si>
    <t>HMTA010-22L5RV1</t>
  </si>
  <si>
    <t>HMTA010-22L5RBV1</t>
  </si>
  <si>
    <t>HMTA010-22L10RV1</t>
  </si>
  <si>
    <t>HMTA010-22L10RBV1</t>
  </si>
  <si>
    <t>HMTA010-22L15RV1</t>
  </si>
  <si>
    <t>HMTA010-22L15RBV1</t>
  </si>
  <si>
    <t>HMTA010-22L20RV1</t>
  </si>
  <si>
    <t>HMTA010-22L20RBV1</t>
  </si>
  <si>
    <t>HMTA010-22L25RV1</t>
  </si>
  <si>
    <t>HMTA010-22L25RBV1</t>
  </si>
  <si>
    <t>HMTA010-22L30RV1</t>
  </si>
  <si>
    <t>HMTA010-22L30RBV1</t>
  </si>
  <si>
    <t>HMTA010-22L40RV1</t>
  </si>
  <si>
    <t>HMTA010-22L40RBV1</t>
  </si>
  <si>
    <t>HMTA010-22L50RV1</t>
  </si>
  <si>
    <t>HMTA010-22L50RBV1</t>
  </si>
  <si>
    <t>HMTA010-22L60RV1</t>
  </si>
  <si>
    <t>HMTA010-22L60RBV1</t>
  </si>
  <si>
    <t>HMTA010-22L80RV1</t>
  </si>
  <si>
    <t>HMTA010-22L80RBV1</t>
  </si>
  <si>
    <t>HMTA010-22L100RV1</t>
  </si>
  <si>
    <t>HMTA010-22L100RBV1</t>
  </si>
  <si>
    <t>HMTA020-22L5RV1</t>
  </si>
  <si>
    <t>HMTA020-22L5RBV1</t>
  </si>
  <si>
    <t>HMTA020-22L10RV1</t>
  </si>
  <si>
    <t>HMTA020-22L10RBV1</t>
  </si>
  <si>
    <t>HMTA020-22L15RV1</t>
  </si>
  <si>
    <t>HMTA020-22L15RBV1</t>
  </si>
  <si>
    <t>HMTA020-22L20RV1</t>
  </si>
  <si>
    <t>HMTA020-22L20RBV1</t>
  </si>
  <si>
    <t>HMTA020-22L25RV1</t>
  </si>
  <si>
    <t>HMTA020-22L25RBV1</t>
  </si>
  <si>
    <t>HMTA020-22L30RV1</t>
  </si>
  <si>
    <t>HMTA020-22L30RBV1</t>
  </si>
  <si>
    <t>HMTA020-22L40RV1</t>
  </si>
  <si>
    <t>HMTA020-22L40RBV1</t>
  </si>
  <si>
    <t>HMTA020-22L50RV1</t>
  </si>
  <si>
    <t>HMTA020-22L50RBV1</t>
  </si>
  <si>
    <t>HMTA020-22L60RV1</t>
  </si>
  <si>
    <t>HMTA020-22L60RBV1</t>
  </si>
  <si>
    <t>HMTA020-28L80RV1</t>
  </si>
  <si>
    <t>HMTA020-28L80RBV1</t>
  </si>
  <si>
    <t>HMTA020-28L100RV1</t>
  </si>
  <si>
    <t>HMTA020-28L100RBV1</t>
  </si>
  <si>
    <t>HMTA040-28L5RV1</t>
  </si>
  <si>
    <t>HMTA040-28L5RBV1</t>
  </si>
  <si>
    <t>HMTA040-28L10RV1</t>
  </si>
  <si>
    <t>HMTA040-28L10RBV1</t>
  </si>
  <si>
    <t>HMTA040-28L15RV1</t>
  </si>
  <si>
    <t>HMTA040-28L15RBV1</t>
  </si>
  <si>
    <t>HMTA040-28L20RV1</t>
  </si>
  <si>
    <t>HMTA040-28L20RBV1</t>
  </si>
  <si>
    <t>HMTA040-28L25RV1</t>
  </si>
  <si>
    <t>HMTA040-28L25RBV1</t>
  </si>
  <si>
    <t>HMTA040-28L30RV1</t>
  </si>
  <si>
    <t>HMTA040-28L30RBV1</t>
  </si>
  <si>
    <t>HMTA040-28L40RV1</t>
  </si>
  <si>
    <t>HMTA040-28L40RBV1</t>
  </si>
  <si>
    <t>HMTA040-28L50RV1</t>
  </si>
  <si>
    <t>HMTA040-28L50RBV1</t>
  </si>
  <si>
    <t>HMTA040-38L60RV1</t>
  </si>
  <si>
    <t>HMTA040-38L60RBV1</t>
  </si>
  <si>
    <t>HMTA040-38L80RV1</t>
  </si>
  <si>
    <t>HMTA040-38L80RBV1</t>
  </si>
  <si>
    <t>HMTA040-38L100RV1</t>
  </si>
  <si>
    <t>HMTA040-38L100RBV1</t>
  </si>
  <si>
    <t>HMTA010-20H5V1</t>
  </si>
  <si>
    <t>HMTA010-20H5BV1</t>
  </si>
  <si>
    <t>HMTA010-20H7.5V1</t>
  </si>
  <si>
    <t>HMTA010-20H7.5BV1</t>
  </si>
  <si>
    <t>HMTA010-20H10V1</t>
  </si>
  <si>
    <t>HMTA010-20H10BV1</t>
  </si>
  <si>
    <t>HMTA010-20H12.5V1</t>
  </si>
  <si>
    <t>HMTA010-20H12.5BV1</t>
  </si>
  <si>
    <t>HMTA010-20H15V1</t>
  </si>
  <si>
    <t>HMTA010-20H15BV1</t>
  </si>
  <si>
    <t>HMTA010-20H20V1</t>
  </si>
  <si>
    <t>HMTA010-20H20BV1</t>
  </si>
  <si>
    <t>HMTA010-20H25V1</t>
  </si>
  <si>
    <t>HMTA010-20H25BV1</t>
  </si>
  <si>
    <t>HMTA010-20H30V1</t>
  </si>
  <si>
    <t>HMTA010-20H30BV1</t>
  </si>
  <si>
    <t>HMTA010-20H40V1</t>
  </si>
  <si>
    <t>HMTA010-20H40BV1</t>
  </si>
  <si>
    <t>HMTA010-20H50V1</t>
  </si>
  <si>
    <t>HMTA010-20H50BV1</t>
  </si>
  <si>
    <t>HMTA010-20H60V1</t>
  </si>
  <si>
    <t>HMTA010-20H60BV1</t>
  </si>
  <si>
    <t>HMTA010-20H80V1</t>
  </si>
  <si>
    <t>HMTA010-20H80BV1</t>
  </si>
  <si>
    <t>HMTA010-20H100V1</t>
  </si>
  <si>
    <t>HMTA010-20H100BV1</t>
  </si>
  <si>
    <t>HMTA020-20H5V1</t>
  </si>
  <si>
    <t>HMTA020-20H5BV1</t>
  </si>
  <si>
    <t>HMTA020-20H7.5V1</t>
  </si>
  <si>
    <t>HMTA020-20H7.5BV1</t>
  </si>
  <si>
    <t>HMTA020-20H10V1</t>
  </si>
  <si>
    <t>HMTA020-20H10BV1</t>
  </si>
  <si>
    <t>HMTA020-20H12.5V1</t>
  </si>
  <si>
    <t>HMTA020-20H12.5BV1</t>
  </si>
  <si>
    <t>HMTA020-20H15V1</t>
  </si>
  <si>
    <t>HMTA020-20H15BV1</t>
  </si>
  <si>
    <t>HMTA020-20H20V1</t>
  </si>
  <si>
    <t>HMTA020-20H20BV1</t>
  </si>
  <si>
    <t>HMTA020-20H25V1</t>
  </si>
  <si>
    <t>HMTA020-20H25BV1</t>
  </si>
  <si>
    <t>HMTA020-20H30V1</t>
  </si>
  <si>
    <t>HMTA020-20H30BV1</t>
  </si>
  <si>
    <t>HMTA020-20H40V1</t>
  </si>
  <si>
    <t>HMTA020-20H40BV1</t>
  </si>
  <si>
    <t>HMTA020-20H50V1</t>
  </si>
  <si>
    <t>HMTA020-20H50BV1</t>
  </si>
  <si>
    <t>HMTA020-20H60V1</t>
  </si>
  <si>
    <t>HMTA020-20H60BV1</t>
  </si>
  <si>
    <t>HMTA020-30H80V1</t>
  </si>
  <si>
    <t>HMTA020-30H80BV1</t>
  </si>
  <si>
    <t>HMTA020-30H100V1</t>
  </si>
  <si>
    <t>HMTA020-30H100BV1</t>
  </si>
  <si>
    <t>HMTA040-30H5V1</t>
  </si>
  <si>
    <t>HMTA040-30H5BV1</t>
  </si>
  <si>
    <t>HMTA040-30H7.5V1</t>
  </si>
  <si>
    <t>HMTA040-30H7.5BV1</t>
  </si>
  <si>
    <t>HMTA040-30H10V1</t>
  </si>
  <si>
    <t>HMTA040-30H10BV1</t>
  </si>
  <si>
    <t>HMTA040-30H12.5V1</t>
  </si>
  <si>
    <t>HMTA040-30H12.5BV1</t>
  </si>
  <si>
    <t>HMTA040-30H15V1</t>
  </si>
  <si>
    <t>HMTA040-30H15BV1</t>
  </si>
  <si>
    <t>HMTA040-30H20V1</t>
  </si>
  <si>
    <t>HMTA040-30H20BV1</t>
  </si>
  <si>
    <t>HMTA040-30H25V1</t>
  </si>
  <si>
    <t>HMTA040-30H25BV1</t>
  </si>
  <si>
    <t>HMTA040-30H30V1</t>
  </si>
  <si>
    <t>HMTA040-30H30BV1</t>
  </si>
  <si>
    <t>HMTA040-30H40V1</t>
  </si>
  <si>
    <t>HMTA040-30H40BV1</t>
  </si>
  <si>
    <t>HMTA040-30H50V1</t>
  </si>
  <si>
    <t>HMTA040-30H50BV1</t>
  </si>
  <si>
    <t>HMTA040-35H60V1</t>
  </si>
  <si>
    <t>HMTA040-35H60BV1</t>
  </si>
  <si>
    <t>HMTA040-35H80V1</t>
  </si>
  <si>
    <t>HMTA040-35H80BV1</t>
  </si>
  <si>
    <t>HMTA040-35H100V1</t>
  </si>
  <si>
    <t>HMTA040-35H100BV1</t>
  </si>
  <si>
    <t>S41</t>
  </si>
  <si>
    <t>0008</t>
  </si>
  <si>
    <t>TSB151-COM</t>
  </si>
  <si>
    <t>S45</t>
  </si>
  <si>
    <t>1421</t>
  </si>
  <si>
    <t>TSB020ED</t>
  </si>
  <si>
    <t>1422</t>
  </si>
  <si>
    <t>TSB075ED</t>
  </si>
  <si>
    <t>1423</t>
  </si>
  <si>
    <t>TSB220ED</t>
  </si>
  <si>
    <t>1424</t>
  </si>
  <si>
    <t>TSB550ED</t>
  </si>
  <si>
    <t>S47</t>
  </si>
  <si>
    <t>1121</t>
  </si>
  <si>
    <t>TSBSB05</t>
  </si>
  <si>
    <t>1122</t>
  </si>
  <si>
    <t>TSBSB10</t>
  </si>
  <si>
    <t>1123</t>
  </si>
  <si>
    <t>TSBSB30</t>
  </si>
  <si>
    <t>1124</t>
  </si>
  <si>
    <t>TSBSB60</t>
  </si>
  <si>
    <t>0501</t>
  </si>
  <si>
    <t>0502</t>
  </si>
  <si>
    <t>0503</t>
  </si>
  <si>
    <t>0504</t>
  </si>
  <si>
    <t>0505</t>
  </si>
  <si>
    <t>0506</t>
  </si>
  <si>
    <t>0507</t>
  </si>
  <si>
    <t>0508</t>
  </si>
  <si>
    <t>0604</t>
  </si>
  <si>
    <t>0001</t>
  </si>
  <si>
    <t>0002</t>
  </si>
  <si>
    <t>0003</t>
  </si>
  <si>
    <t>0004</t>
  </si>
  <si>
    <t>0005</t>
  </si>
  <si>
    <t>0006</t>
  </si>
  <si>
    <t>0007</t>
  </si>
  <si>
    <t>0011</t>
  </si>
  <si>
    <t>0012</t>
  </si>
  <si>
    <t>0013</t>
  </si>
  <si>
    <t>0014</t>
  </si>
  <si>
    <t>0015</t>
  </si>
  <si>
    <t>0101</t>
  </si>
  <si>
    <t>0102</t>
  </si>
  <si>
    <t>0103</t>
  </si>
  <si>
    <t>0104</t>
  </si>
  <si>
    <t>0105</t>
  </si>
  <si>
    <t>0106</t>
  </si>
  <si>
    <t>0107</t>
  </si>
  <si>
    <t>0108</t>
  </si>
  <si>
    <t>0111</t>
  </si>
  <si>
    <t>0112</t>
  </si>
  <si>
    <t>0113</t>
  </si>
  <si>
    <t>0114</t>
  </si>
  <si>
    <t>0201</t>
  </si>
  <si>
    <t>0202</t>
  </si>
  <si>
    <t>0203</t>
  </si>
  <si>
    <t>0204</t>
  </si>
  <si>
    <t>0205</t>
  </si>
  <si>
    <t>0206</t>
  </si>
  <si>
    <t>0207</t>
  </si>
  <si>
    <t>0211</t>
  </si>
  <si>
    <t>0212</t>
  </si>
  <si>
    <t>0213</t>
  </si>
  <si>
    <t>0214</t>
  </si>
  <si>
    <t>0215</t>
  </si>
  <si>
    <t>0216</t>
  </si>
  <si>
    <t>0217</t>
  </si>
  <si>
    <t>0301</t>
  </si>
  <si>
    <t>0302</t>
  </si>
  <si>
    <t>0303</t>
  </si>
  <si>
    <t>0304</t>
  </si>
  <si>
    <t>0305</t>
  </si>
  <si>
    <t>1101</t>
  </si>
  <si>
    <t>1102</t>
  </si>
  <si>
    <t>1103</t>
  </si>
  <si>
    <t>1104</t>
  </si>
  <si>
    <t>1105</t>
  </si>
  <si>
    <t>1106</t>
  </si>
  <si>
    <t>1111</t>
  </si>
  <si>
    <t>1112</t>
  </si>
  <si>
    <t>1113</t>
  </si>
  <si>
    <t>1114</t>
  </si>
  <si>
    <t>1131</t>
  </si>
  <si>
    <t>1132</t>
  </si>
  <si>
    <t>1133</t>
  </si>
  <si>
    <t>1134</t>
  </si>
  <si>
    <t>0031</t>
  </si>
  <si>
    <t>0032</t>
  </si>
  <si>
    <t>0033</t>
  </si>
  <si>
    <t>0034</t>
  </si>
  <si>
    <t>0035</t>
  </si>
  <si>
    <t>0036</t>
  </si>
  <si>
    <t>0037</t>
  </si>
  <si>
    <t>0038</t>
  </si>
  <si>
    <t>0041</t>
  </si>
  <si>
    <t>0042</t>
  </si>
  <si>
    <t>0043</t>
  </si>
  <si>
    <t>0044</t>
  </si>
  <si>
    <t>PLG010X013EF</t>
  </si>
  <si>
    <t>PC</t>
  </si>
  <si>
    <t>USD($)</t>
  </si>
  <si>
    <t>TMS</t>
  </si>
  <si>
    <t>MOQ: THB 50,000 per shipment</t>
  </si>
  <si>
    <t>PLG011X014EF</t>
  </si>
  <si>
    <t>PLG012X015EF</t>
  </si>
  <si>
    <t>PLG014X018EF</t>
  </si>
  <si>
    <t>PLG015X019EF</t>
  </si>
  <si>
    <t>PLG016X020EF</t>
  </si>
  <si>
    <t>PLG017X021EF</t>
  </si>
  <si>
    <t>PLG018X022EF</t>
  </si>
  <si>
    <t>PLG019X024EF</t>
  </si>
  <si>
    <t>PLG020X025EF</t>
  </si>
  <si>
    <t>PLG022X026EF</t>
  </si>
  <si>
    <t>PLG024X028EF</t>
  </si>
  <si>
    <t>PLG025X030EF</t>
  </si>
  <si>
    <t>PLG028X032EF</t>
  </si>
  <si>
    <t>PLG030X035EF</t>
  </si>
  <si>
    <t>PLG032X036EF</t>
  </si>
  <si>
    <t>PLG035X040EF</t>
  </si>
  <si>
    <t>PLG038X044EF</t>
  </si>
  <si>
    <t>PLG040X045EF</t>
  </si>
  <si>
    <t>PLG042X048EF</t>
  </si>
  <si>
    <t>PLG045X052EF</t>
  </si>
  <si>
    <t>PLG048X055EF</t>
  </si>
  <si>
    <t>PLG050X057EF</t>
  </si>
  <si>
    <t>PLG055X062EF</t>
  </si>
  <si>
    <t>PLG060X068EF</t>
  </si>
  <si>
    <t>PLG065X073EF</t>
  </si>
  <si>
    <t>PLG070X079EF</t>
  </si>
  <si>
    <t>PLG075X084EF</t>
  </si>
  <si>
    <t>PLG080X091EF</t>
  </si>
  <si>
    <t>PLG085X096EF</t>
  </si>
  <si>
    <t>PLG090X101EF</t>
  </si>
  <si>
    <t>PLG095X106EF</t>
  </si>
  <si>
    <t>PLG100X114EF</t>
  </si>
  <si>
    <t>PLG110X124EF</t>
  </si>
  <si>
    <t>PLG120X134EF</t>
  </si>
  <si>
    <t>PLG008X021KE</t>
  </si>
  <si>
    <t>PLG010X023KE</t>
  </si>
  <si>
    <t>PLG011X024KE</t>
  </si>
  <si>
    <t>PLG012X026KE</t>
  </si>
  <si>
    <t>PLG014X028KE</t>
  </si>
  <si>
    <t>PLG015X029KE</t>
  </si>
  <si>
    <t>PLG016X030KE</t>
  </si>
  <si>
    <t>PLG017X031KE</t>
  </si>
  <si>
    <t>PLG018X032KE</t>
  </si>
  <si>
    <t>PLG019X033KE</t>
  </si>
  <si>
    <t>PLG020X038KE</t>
  </si>
  <si>
    <t>PLG022X040KE</t>
  </si>
  <si>
    <t>PLG024X042KE</t>
  </si>
  <si>
    <t>PLG025X043KE</t>
  </si>
  <si>
    <t>PLG028X046KE</t>
  </si>
  <si>
    <t>PLG030X048KE</t>
  </si>
  <si>
    <t>PLG032X050KE</t>
  </si>
  <si>
    <t>PLG035X057KE</t>
  </si>
  <si>
    <t>PLG038X060KE</t>
  </si>
  <si>
    <t>PLG040X062KE</t>
  </si>
  <si>
    <t>PLG042X064KE</t>
  </si>
  <si>
    <t>PLG045X067KE</t>
  </si>
  <si>
    <t>PLG048X070KE</t>
  </si>
  <si>
    <t>PLG050X072KE</t>
  </si>
  <si>
    <t>PLG055X077KE</t>
  </si>
  <si>
    <t>PLG060X082KE</t>
  </si>
  <si>
    <t>PLG065X087KE</t>
  </si>
  <si>
    <t>PLG070X097KE</t>
  </si>
  <si>
    <t>PLG075X102KE</t>
  </si>
  <si>
    <t>PLG080X107KE</t>
  </si>
  <si>
    <t>PLG085X112KE</t>
  </si>
  <si>
    <t>PLG090X123KE</t>
  </si>
  <si>
    <t>PLG095X128KE</t>
  </si>
  <si>
    <t>PLG100X133KE</t>
  </si>
  <si>
    <t>PLG010X018TF</t>
  </si>
  <si>
    <t>PLG011X018TF</t>
  </si>
  <si>
    <t>PLG012X020TF</t>
  </si>
  <si>
    <t>PLG014X022TF</t>
  </si>
  <si>
    <t>PLG015X023TF</t>
  </si>
  <si>
    <t>PLG016X024TF</t>
  </si>
  <si>
    <t>PLG018X026TF</t>
  </si>
  <si>
    <t>PLG019X027TF</t>
  </si>
  <si>
    <t>PLG020X028TF</t>
  </si>
  <si>
    <t>PLG022X032TF</t>
  </si>
  <si>
    <t>PLG024X034TF</t>
  </si>
  <si>
    <t>PLG025X034TF</t>
  </si>
  <si>
    <t>PLG028X039TF</t>
  </si>
  <si>
    <t>PLG030X041TF</t>
  </si>
  <si>
    <t>PLG032X043TF</t>
  </si>
  <si>
    <t>PLG035X047TF</t>
  </si>
  <si>
    <t>PLG038X050TF</t>
  </si>
  <si>
    <t>PLG040X053TF</t>
  </si>
  <si>
    <t>PLG042X055TF</t>
  </si>
  <si>
    <t>PLG045X059TF</t>
  </si>
  <si>
    <t>PLG048X062TF</t>
  </si>
  <si>
    <t>PLG050X065TF</t>
  </si>
  <si>
    <t>PLG055X071TF</t>
  </si>
  <si>
    <t>PLG060X077TF</t>
  </si>
  <si>
    <t>PLG065X084TF</t>
  </si>
  <si>
    <t>PLG070X090TF</t>
  </si>
  <si>
    <t>PLG075X095TF</t>
  </si>
  <si>
    <t>PLG080X100TF</t>
  </si>
  <si>
    <t>PLG085X106TF</t>
  </si>
  <si>
    <t>PLG090X112TF</t>
  </si>
  <si>
    <t>PLG019X047AS</t>
  </si>
  <si>
    <t>PLG020X047AS</t>
  </si>
  <si>
    <t>PLG022X047AS</t>
  </si>
  <si>
    <t>PLG024X050AS</t>
  </si>
  <si>
    <t>PLG025X050AS</t>
  </si>
  <si>
    <t>PLG028X055AS</t>
  </si>
  <si>
    <t>PLG030X055AS</t>
  </si>
  <si>
    <t>PLG032X060AS</t>
  </si>
  <si>
    <t>PLG035X060AS</t>
  </si>
  <si>
    <t>PLG038X065AS</t>
  </si>
  <si>
    <t>PLG040X065AS</t>
  </si>
  <si>
    <t>PLG042X075AS</t>
  </si>
  <si>
    <t>PLG045X075AS</t>
  </si>
  <si>
    <t>PLG048X080AS</t>
  </si>
  <si>
    <t>PLG050X080AS</t>
  </si>
  <si>
    <t>PLG055X085AS</t>
  </si>
  <si>
    <t>PLG060X090AS</t>
  </si>
  <si>
    <t>PLG065X095AS</t>
  </si>
  <si>
    <t>PLG070X110AS</t>
  </si>
  <si>
    <t>PLG075X115AS</t>
  </si>
  <si>
    <t>PLG080X120AS</t>
  </si>
  <si>
    <t>PLG085X125AS</t>
  </si>
  <si>
    <t>PLG090X130AS</t>
  </si>
  <si>
    <t>PLG095X135AS</t>
  </si>
  <si>
    <t>PLG100X145AS</t>
  </si>
  <si>
    <t>PLG110X155AS</t>
  </si>
  <si>
    <t>PLG120X165AS</t>
  </si>
  <si>
    <t>PLG130X180AS</t>
  </si>
  <si>
    <t>PLG140X190AS</t>
  </si>
  <si>
    <t>PLG150X200AS</t>
  </si>
  <si>
    <t>PLG160X210AS</t>
  </si>
  <si>
    <t>PLG019X047AE</t>
  </si>
  <si>
    <t>PLG020X047AE</t>
  </si>
  <si>
    <t>PLG022X047AE</t>
  </si>
  <si>
    <t>PLG024X050AE</t>
  </si>
  <si>
    <t>PLG025X050AE</t>
  </si>
  <si>
    <t>PLG028X055AE</t>
  </si>
  <si>
    <t>PLG030X055AE</t>
  </si>
  <si>
    <t>PLG032X060AE</t>
  </si>
  <si>
    <t>PLG035X060AE</t>
  </si>
  <si>
    <t>PLG038X065AE</t>
  </si>
  <si>
    <t>PLG040X065AE</t>
  </si>
  <si>
    <t>PLG042X075AE</t>
  </si>
  <si>
    <t>PLG045X075AE</t>
  </si>
  <si>
    <t>PLG048X080AE</t>
  </si>
  <si>
    <t>PLG050X080AE</t>
  </si>
  <si>
    <t>PLG055X085AE</t>
  </si>
  <si>
    <t>PLG060X090AE</t>
  </si>
  <si>
    <t>PLG065X095AE</t>
  </si>
  <si>
    <t>PLG070X110AE</t>
  </si>
  <si>
    <t>PLG075X115AE</t>
  </si>
  <si>
    <t>PLG080X120AE</t>
  </si>
  <si>
    <t>PLG085X125AE</t>
  </si>
  <si>
    <t>PLG090X130AE</t>
  </si>
  <si>
    <t>PLG095X135AE</t>
  </si>
  <si>
    <t>PLG100X145AE</t>
  </si>
  <si>
    <t>PLG040X065AD-N</t>
  </si>
  <si>
    <t>PLG042X075AD-N</t>
  </si>
  <si>
    <t>PLG045X075AD-N</t>
  </si>
  <si>
    <t>PLG048X080AD-N</t>
  </si>
  <si>
    <t>PLG050X080AD-N</t>
  </si>
  <si>
    <t>PLG055X085AD-N</t>
  </si>
  <si>
    <t>PLG060X090AD-N</t>
  </si>
  <si>
    <t>PLG065X095AD-N</t>
  </si>
  <si>
    <t>PLG070X110AD-N</t>
  </si>
  <si>
    <t>PLG075X115AD-N</t>
  </si>
  <si>
    <t>PLG080X120AD-N</t>
  </si>
  <si>
    <t>PLG085X125AD-N</t>
  </si>
  <si>
    <t>PLG090X130AD-N</t>
  </si>
  <si>
    <t>PLG095X135AD-N</t>
  </si>
  <si>
    <t>PLG100X145AD-N</t>
  </si>
  <si>
    <t>R21</t>
  </si>
  <si>
    <t>MZ20</t>
  </si>
  <si>
    <t>MZ30</t>
  </si>
  <si>
    <t>MZ35</t>
  </si>
  <si>
    <t>MZ45</t>
  </si>
  <si>
    <t>MZ60</t>
  </si>
  <si>
    <t>0509</t>
  </si>
  <si>
    <t>MZ70</t>
  </si>
  <si>
    <t>0510</t>
  </si>
  <si>
    <t>R12</t>
  </si>
  <si>
    <t>PB3-LH</t>
  </si>
  <si>
    <t>PB3-RH</t>
  </si>
  <si>
    <t>PB5-LH</t>
  </si>
  <si>
    <t>PB5-RH</t>
  </si>
  <si>
    <t>PB6-LH</t>
  </si>
  <si>
    <t>PB6-RH</t>
  </si>
  <si>
    <t>PB8-LH</t>
  </si>
  <si>
    <t>PB8-RH</t>
  </si>
  <si>
    <t>0109</t>
  </si>
  <si>
    <t>PB10-LH</t>
  </si>
  <si>
    <t>0110</t>
  </si>
  <si>
    <t>PB10-RH</t>
  </si>
  <si>
    <t>PB12-LH</t>
  </si>
  <si>
    <t>PB12-RH</t>
  </si>
  <si>
    <t>PB14-LH</t>
  </si>
  <si>
    <t>PB14-RH</t>
  </si>
  <si>
    <t>R13</t>
  </si>
  <si>
    <t>B203</t>
  </si>
  <si>
    <t>B204</t>
  </si>
  <si>
    <t>B205</t>
  </si>
  <si>
    <t>B206</t>
  </si>
  <si>
    <t>B207</t>
  </si>
  <si>
    <t>B208</t>
  </si>
  <si>
    <t>B210</t>
  </si>
  <si>
    <t>R14</t>
  </si>
  <si>
    <t>LD04</t>
  </si>
  <si>
    <t>LD05</t>
  </si>
  <si>
    <t>LD06</t>
  </si>
  <si>
    <t>LD07</t>
  </si>
  <si>
    <t>LD08</t>
  </si>
  <si>
    <t>R11</t>
  </si>
  <si>
    <t>0210</t>
  </si>
  <si>
    <t>MG1100</t>
  </si>
  <si>
    <t>0223</t>
  </si>
  <si>
    <t>MG1200</t>
  </si>
  <si>
    <t>0224</t>
  </si>
  <si>
    <t>MG1300</t>
  </si>
  <si>
    <t>MG300</t>
  </si>
  <si>
    <t>MG400</t>
  </si>
  <si>
    <t>MG500</t>
  </si>
  <si>
    <t>MG600</t>
  </si>
  <si>
    <t>MG700</t>
  </si>
  <si>
    <t>MG750</t>
  </si>
  <si>
    <t>MG800</t>
  </si>
  <si>
    <t>R15</t>
  </si>
  <si>
    <t>0220</t>
  </si>
  <si>
    <t>MI1100</t>
  </si>
  <si>
    <t>0221</t>
  </si>
  <si>
    <t>MI1200</t>
  </si>
  <si>
    <t>0222</t>
  </si>
  <si>
    <t>MI1300</t>
  </si>
  <si>
    <t>MI300</t>
  </si>
  <si>
    <t>MI400</t>
  </si>
  <si>
    <t>MI500</t>
  </si>
  <si>
    <t>MI600</t>
  </si>
  <si>
    <t>MI700</t>
  </si>
  <si>
    <t>MI750</t>
  </si>
  <si>
    <t>MI800</t>
  </si>
  <si>
    <t>R16</t>
  </si>
  <si>
    <t>0401</t>
  </si>
  <si>
    <t>MX22</t>
  </si>
  <si>
    <t>0402</t>
  </si>
  <si>
    <t>MX35</t>
  </si>
  <si>
    <t>0403</t>
  </si>
  <si>
    <t>MX50</t>
  </si>
  <si>
    <t>0404</t>
  </si>
  <si>
    <t>MX70</t>
  </si>
  <si>
    <t>R51</t>
  </si>
  <si>
    <t>5000</t>
  </si>
  <si>
    <t>BB15</t>
  </si>
  <si>
    <t>5001</t>
  </si>
  <si>
    <t>BB17</t>
  </si>
  <si>
    <t>5002</t>
  </si>
  <si>
    <t>BB20</t>
  </si>
  <si>
    <t>5003</t>
  </si>
  <si>
    <t>BB25</t>
  </si>
  <si>
    <t>5004</t>
  </si>
  <si>
    <t>BB30</t>
  </si>
  <si>
    <t>5005</t>
  </si>
  <si>
    <t>BB35</t>
  </si>
  <si>
    <t>5006</t>
  </si>
  <si>
    <t>BB40</t>
  </si>
  <si>
    <t>5100</t>
  </si>
  <si>
    <t>BB15-1K-K</t>
  </si>
  <si>
    <t>5101</t>
  </si>
  <si>
    <t>BB17-1K-K</t>
  </si>
  <si>
    <t>5102</t>
  </si>
  <si>
    <t>BB20-1K-K</t>
  </si>
  <si>
    <t>5103</t>
  </si>
  <si>
    <t>BB25-1K-K</t>
  </si>
  <si>
    <t>5104</t>
  </si>
  <si>
    <t>BB30-1K-K</t>
  </si>
  <si>
    <t>5105</t>
  </si>
  <si>
    <t>BB35-1K-K</t>
  </si>
  <si>
    <t>5106</t>
  </si>
  <si>
    <t>BB40-1K-K</t>
  </si>
  <si>
    <t>5200</t>
  </si>
  <si>
    <t>BB15-2K-K</t>
  </si>
  <si>
    <t>5201</t>
  </si>
  <si>
    <t>BB17-2K-K</t>
  </si>
  <si>
    <t>5202</t>
  </si>
  <si>
    <t>BB20-2K-K</t>
  </si>
  <si>
    <t>5203</t>
  </si>
  <si>
    <t>BB25-2K-K</t>
  </si>
  <si>
    <t>5204</t>
  </si>
  <si>
    <t>BB30-2K-K</t>
  </si>
  <si>
    <t>5205</t>
  </si>
  <si>
    <t>BB35-2K-K</t>
  </si>
  <si>
    <t>5206</t>
  </si>
  <si>
    <t>BB40-2K-K</t>
  </si>
  <si>
    <t>5300</t>
  </si>
  <si>
    <t>BB15-2GD</t>
  </si>
  <si>
    <t>Quotation</t>
  </si>
  <si>
    <t>5301</t>
  </si>
  <si>
    <t>BB17-2GD</t>
  </si>
  <si>
    <t>5302</t>
  </si>
  <si>
    <t>BB20-2GD</t>
  </si>
  <si>
    <t>5303</t>
  </si>
  <si>
    <t>BB25-2GD</t>
  </si>
  <si>
    <t>5304</t>
  </si>
  <si>
    <t>BB30-2GD</t>
  </si>
  <si>
    <t>5305</t>
  </si>
  <si>
    <t>BB35-2GD</t>
  </si>
  <si>
    <t>5306</t>
  </si>
  <si>
    <t>BB40-2GD</t>
  </si>
  <si>
    <t>R31</t>
  </si>
  <si>
    <t>1043</t>
  </si>
  <si>
    <t>BS110-100E</t>
  </si>
  <si>
    <t>1143</t>
  </si>
  <si>
    <t>BS110-100J</t>
  </si>
  <si>
    <t>1044</t>
  </si>
  <si>
    <t>BS110-105E</t>
  </si>
  <si>
    <t>1144</t>
  </si>
  <si>
    <t>BS110-105J</t>
  </si>
  <si>
    <t>1045</t>
  </si>
  <si>
    <t>BS110-110E</t>
  </si>
  <si>
    <t>1145</t>
  </si>
  <si>
    <t>BS110-110J</t>
  </si>
  <si>
    <t>1041</t>
  </si>
  <si>
    <t>BS110-85E</t>
  </si>
  <si>
    <t>1141</t>
  </si>
  <si>
    <t>BS110-85J</t>
  </si>
  <si>
    <t>1042</t>
  </si>
  <si>
    <t>BS110-95E</t>
  </si>
  <si>
    <t>1142</t>
  </si>
  <si>
    <t>BS110-95J</t>
  </si>
  <si>
    <t>1201</t>
  </si>
  <si>
    <t>1204</t>
  </si>
  <si>
    <t>1206</t>
  </si>
  <si>
    <t>1207</t>
  </si>
  <si>
    <t>1208</t>
  </si>
  <si>
    <t>1209</t>
  </si>
  <si>
    <t>1211</t>
  </si>
  <si>
    <t>1212</t>
  </si>
  <si>
    <t>1215</t>
  </si>
  <si>
    <t>1216</t>
  </si>
  <si>
    <t>1217</t>
  </si>
  <si>
    <t>1218</t>
  </si>
  <si>
    <t>1219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</si>
  <si>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</si>
  <si>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</si>
  <si>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</si>
  <si>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</si>
  <si>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</si>
  <si>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</si>
  <si>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</si>
  <si>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</si>
  <si>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</si>
  <si>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1231</t>
  </si>
  <si>
    <t>1232</t>
  </si>
  <si>
    <t>1233</t>
  </si>
  <si>
    <t>1234</t>
  </si>
  <si>
    <t>1235</t>
  </si>
  <si>
    <t>0953</t>
  </si>
  <si>
    <t>BS30-30E</t>
  </si>
  <si>
    <t>0963</t>
  </si>
  <si>
    <t>BS30-30J</t>
  </si>
  <si>
    <t>0964</t>
  </si>
  <si>
    <t>BS50-45E</t>
  </si>
  <si>
    <t>0974</t>
  </si>
  <si>
    <t>BS50-45J</t>
  </si>
  <si>
    <t>0965</t>
  </si>
  <si>
    <t>BS50-50E</t>
  </si>
  <si>
    <t>0975</t>
  </si>
  <si>
    <t>BS50-50J</t>
  </si>
  <si>
    <t>1001</t>
  </si>
  <si>
    <t>BS65-40E</t>
  </si>
  <si>
    <t>BS65-40J</t>
  </si>
  <si>
    <t>1002</t>
  </si>
  <si>
    <t>BS65-45E</t>
  </si>
  <si>
    <t>BS65-45J</t>
  </si>
  <si>
    <t>1003</t>
  </si>
  <si>
    <t>BS65-50E</t>
  </si>
  <si>
    <t>BS65-50J</t>
  </si>
  <si>
    <t>1004</t>
  </si>
  <si>
    <t>BS65-55E</t>
  </si>
  <si>
    <t>BS65-55J</t>
  </si>
  <si>
    <t>1005</t>
  </si>
  <si>
    <t>BS65-60E</t>
  </si>
  <si>
    <t>BS65-60J</t>
  </si>
  <si>
    <t>1006</t>
  </si>
  <si>
    <t>BS65-65E</t>
  </si>
  <si>
    <t>BS65-65J</t>
  </si>
  <si>
    <t>1011</t>
  </si>
  <si>
    <t>BS75-60E</t>
  </si>
  <si>
    <t>BS75-60J</t>
  </si>
  <si>
    <t>1012</t>
  </si>
  <si>
    <t>BS75-65E</t>
  </si>
  <si>
    <t>BS75-65J</t>
  </si>
  <si>
    <t>1013</t>
  </si>
  <si>
    <t>BS75-70E</t>
  </si>
  <si>
    <t>BS75-70J</t>
  </si>
  <si>
    <t>1014</t>
  </si>
  <si>
    <t>BS75-75E</t>
  </si>
  <si>
    <t>BS75-75J</t>
  </si>
  <si>
    <t>1021</t>
  </si>
  <si>
    <t>BS85-70E</t>
  </si>
  <si>
    <t>BS85-70J</t>
  </si>
  <si>
    <t>1022</t>
  </si>
  <si>
    <t>BS85-75E</t>
  </si>
  <si>
    <t>BS85-75J</t>
  </si>
  <si>
    <t>1023</t>
  </si>
  <si>
    <t>BS85-80E</t>
  </si>
  <si>
    <t>BS85-80J</t>
  </si>
  <si>
    <t>1024</t>
  </si>
  <si>
    <t>BS85-85E</t>
  </si>
  <si>
    <t>BS85-85J</t>
  </si>
  <si>
    <t>1031</t>
  </si>
  <si>
    <t>BS95-80E</t>
  </si>
  <si>
    <t>BS95-80J</t>
  </si>
  <si>
    <t>1032</t>
  </si>
  <si>
    <t>BS95-85E</t>
  </si>
  <si>
    <t>BS95-85J</t>
  </si>
  <si>
    <t>1033</t>
  </si>
  <si>
    <t>BS95-90E</t>
  </si>
  <si>
    <t>BS95-90J</t>
  </si>
  <si>
    <t>1034</t>
  </si>
  <si>
    <t>BS95-95E</t>
  </si>
  <si>
    <t>BS95-95J</t>
  </si>
  <si>
    <t>P53</t>
  </si>
  <si>
    <t>L035-S</t>
  </si>
  <si>
    <t>L050-S</t>
  </si>
  <si>
    <t>L050-H</t>
  </si>
  <si>
    <t>L070-S</t>
  </si>
  <si>
    <t>L070-M</t>
  </si>
  <si>
    <t>L070-H</t>
  </si>
  <si>
    <t>L075-S</t>
  </si>
  <si>
    <t>L075-M</t>
  </si>
  <si>
    <t>1213</t>
  </si>
  <si>
    <t>L075-H</t>
  </si>
  <si>
    <t>1214</t>
  </si>
  <si>
    <t>L090-S</t>
  </si>
  <si>
    <t>L090-M</t>
  </si>
  <si>
    <t>L090-H</t>
  </si>
  <si>
    <t>L095-S</t>
  </si>
  <si>
    <t>L095-M</t>
  </si>
  <si>
    <t>L095-H</t>
  </si>
  <si>
    <t>L099-S</t>
  </si>
  <si>
    <t>L099-M</t>
  </si>
  <si>
    <t>L099-H</t>
  </si>
  <si>
    <t>L100-S</t>
  </si>
  <si>
    <t>L100-M</t>
  </si>
  <si>
    <t>L100-H</t>
  </si>
  <si>
    <t>L110-S</t>
  </si>
  <si>
    <t>L110-M</t>
  </si>
  <si>
    <t>L110-H</t>
  </si>
  <si>
    <t>L150-S</t>
  </si>
  <si>
    <t>L150-M</t>
  </si>
  <si>
    <t>L150-H</t>
  </si>
  <si>
    <t>L190-S</t>
  </si>
  <si>
    <t>L190-M</t>
  </si>
  <si>
    <t>1236</t>
  </si>
  <si>
    <t>L190-H</t>
  </si>
  <si>
    <t>1237</t>
  </si>
  <si>
    <t>L225-S</t>
  </si>
  <si>
    <t>1238</t>
  </si>
  <si>
    <t>L225-M</t>
  </si>
  <si>
    <t>1239</t>
  </si>
  <si>
    <t>L225-H</t>
  </si>
  <si>
    <t>2300</t>
  </si>
  <si>
    <t>L035GS</t>
  </si>
  <si>
    <t>2303</t>
  </si>
  <si>
    <t>L050GS</t>
  </si>
  <si>
    <t>2305</t>
  </si>
  <si>
    <t>L050GH</t>
  </si>
  <si>
    <t>2306</t>
  </si>
  <si>
    <t>L070GS</t>
  </si>
  <si>
    <t>2307</t>
  </si>
  <si>
    <t>L070GM</t>
  </si>
  <si>
    <t>2308</t>
  </si>
  <si>
    <t>L070GH</t>
  </si>
  <si>
    <t>2309</t>
  </si>
  <si>
    <t>L075GS</t>
  </si>
  <si>
    <t>2310</t>
  </si>
  <si>
    <t>L075GM</t>
  </si>
  <si>
    <t>2311</t>
  </si>
  <si>
    <t>L075GH</t>
  </si>
  <si>
    <t>2312</t>
  </si>
  <si>
    <t>L090GS</t>
  </si>
  <si>
    <t>2313</t>
  </si>
  <si>
    <t>L090GM</t>
  </si>
  <si>
    <t>2314</t>
  </si>
  <si>
    <t>L090GH</t>
  </si>
  <si>
    <t>2318</t>
  </si>
  <si>
    <t>L099GS</t>
  </si>
  <si>
    <t>2319</t>
  </si>
  <si>
    <t>L099GM</t>
  </si>
  <si>
    <t>2320</t>
  </si>
  <si>
    <t>L099GH</t>
  </si>
  <si>
    <t>2324</t>
  </si>
  <si>
    <t>L110GS</t>
  </si>
  <si>
    <t>2325</t>
  </si>
  <si>
    <t>L110GM</t>
  </si>
  <si>
    <t>2326</t>
  </si>
  <si>
    <t>L110GH</t>
  </si>
  <si>
    <t>2327</t>
  </si>
  <si>
    <t>L150GS</t>
  </si>
  <si>
    <t>2328</t>
  </si>
  <si>
    <t>L150GM</t>
  </si>
  <si>
    <t>2329</t>
  </si>
  <si>
    <t>L150GH</t>
  </si>
  <si>
    <t>2330</t>
  </si>
  <si>
    <t>L190GS</t>
  </si>
  <si>
    <t>2331</t>
  </si>
  <si>
    <t>L190GM</t>
  </si>
  <si>
    <t>2332</t>
  </si>
  <si>
    <t>L190GH</t>
  </si>
  <si>
    <t>2333</t>
  </si>
  <si>
    <t>L225GS</t>
  </si>
  <si>
    <t>2334</t>
  </si>
  <si>
    <t>L225GM</t>
  </si>
  <si>
    <t>2335</t>
  </si>
  <si>
    <t>L225GH</t>
  </si>
  <si>
    <t>K73</t>
  </si>
  <si>
    <t>TYC (MOTION CONTROL)</t>
  </si>
  <si>
    <t>0406</t>
  </si>
  <si>
    <t>TL10FRICTIONFACING</t>
  </si>
  <si>
    <t>TL10A</t>
  </si>
  <si>
    <t>TL200-1C</t>
  </si>
  <si>
    <t>TL200-2C</t>
  </si>
  <si>
    <t>TL200FRICTIONFACING</t>
  </si>
  <si>
    <t>TL200A</t>
  </si>
  <si>
    <t>TL200DISCSPRING</t>
  </si>
  <si>
    <t>TL200S</t>
  </si>
  <si>
    <t>TL250-1C</t>
  </si>
  <si>
    <t>TL250-2C</t>
  </si>
  <si>
    <t>TL250FRICTIONFACING</t>
  </si>
  <si>
    <t>TL250A</t>
  </si>
  <si>
    <t>TL250DISCSPRING</t>
  </si>
  <si>
    <t>TL250S</t>
  </si>
  <si>
    <t>TL350-1C</t>
  </si>
  <si>
    <t>TL350-2C</t>
  </si>
  <si>
    <t>TL350FRICTIONFACING</t>
  </si>
  <si>
    <t>TL350A</t>
  </si>
  <si>
    <t>TL350DISCSPRING</t>
  </si>
  <si>
    <t>TL350S</t>
  </si>
  <si>
    <t>TL500-1C</t>
  </si>
  <si>
    <t>TL500-2C</t>
  </si>
  <si>
    <t>TL500FRICTIONFACING</t>
  </si>
  <si>
    <t>TL500A</t>
  </si>
  <si>
    <t>TL500DISCSPRING</t>
  </si>
  <si>
    <t>TL500S</t>
  </si>
  <si>
    <t>TL700-1C</t>
  </si>
  <si>
    <t>TL700-2C</t>
  </si>
  <si>
    <t>0405</t>
  </si>
  <si>
    <t>TL700FRICTIONFACING</t>
  </si>
  <si>
    <t>TL700A</t>
  </si>
  <si>
    <t>TL700DISCSPRING</t>
  </si>
  <si>
    <t>TL700S</t>
  </si>
  <si>
    <t>P71</t>
  </si>
  <si>
    <t>CR3812H</t>
  </si>
  <si>
    <t>CR4012H</t>
  </si>
  <si>
    <t>CR4014H</t>
  </si>
  <si>
    <t>CR4016H</t>
  </si>
  <si>
    <t>CR5014H</t>
  </si>
  <si>
    <t>CR5016H</t>
  </si>
  <si>
    <t>CR5018H</t>
  </si>
  <si>
    <t>CR6018H</t>
  </si>
  <si>
    <t>0009</t>
  </si>
  <si>
    <t>CR6022H</t>
  </si>
  <si>
    <t>0010</t>
  </si>
  <si>
    <t>CR8018H</t>
  </si>
  <si>
    <t>CR8022H</t>
  </si>
  <si>
    <t>CR10020H</t>
  </si>
  <si>
    <t>CR12018H</t>
  </si>
  <si>
    <t>CR12022H</t>
  </si>
  <si>
    <t>CR16018H</t>
  </si>
  <si>
    <t>0030</t>
  </si>
  <si>
    <t>CR3812K</t>
  </si>
  <si>
    <t>CR4012K</t>
  </si>
  <si>
    <t>CR4014K</t>
  </si>
  <si>
    <t>CR4016K</t>
  </si>
  <si>
    <t>CR5014K</t>
  </si>
  <si>
    <t>CR5016K</t>
  </si>
  <si>
    <t>CR5018K</t>
  </si>
  <si>
    <t>CR6018K</t>
  </si>
  <si>
    <t>CR6022K</t>
  </si>
  <si>
    <t>0039</t>
  </si>
  <si>
    <t>CR8018K</t>
  </si>
  <si>
    <t>0040</t>
  </si>
  <si>
    <t>CR8022K</t>
  </si>
  <si>
    <t>CR10020K</t>
  </si>
  <si>
    <t>CR12018K</t>
  </si>
  <si>
    <t>CR12022K</t>
  </si>
  <si>
    <t>CR16018K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</si>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</sst>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6"/>
  <sheetViews>
    <sheetView tabSelected="1" workbookViewId="0">
      <selection activeCell="J11" sqref="J11"/>
    </sheetView>
  </sheetViews>
  <sheetFormatPr defaultRowHeight="15" x14ac:dyDescent="0.25"/>
  <sheetData>
    <row r="1" spans="1:31" x14ac:dyDescent="0.25">
      <c r="N1" t="s">
        <v>0</v>
      </c>
      <c r="O1" t="s">
        <v>1</v>
      </c>
    </row>
    <row r="2" spans="1:31" x14ac:dyDescent="0.25">
      <c r="M2" t="s">
        <v>2</v>
      </c>
      <c r="N2">
        <f>1.1*1.04</f>
        <v>1.1440000000000001</v>
      </c>
      <c r="O2">
        <v>0.26</v>
      </c>
    </row>
    <row r="3" spans="1:31" x14ac:dyDescent="0.25">
      <c r="M3" t="s">
        <v>3</v>
      </c>
      <c r="N3">
        <v>1.1668799999999999</v>
      </c>
      <c r="O3">
        <v>38</v>
      </c>
    </row>
    <row r="4" spans="1:31" x14ac:dyDescent="0.25">
      <c r="A4" t="s">
        <v>4</v>
      </c>
      <c r="B4" t="s">
        <v>1005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</row>
    <row r="5" spans="1:31" x14ac:dyDescent="0.25">
      <c r="A5" t="s">
        <v>34</v>
      </c>
      <c r="D5" t="s">
        <v>35</v>
      </c>
      <c r="E5" t="s">
        <v>36</v>
      </c>
      <c r="F5">
        <v>35039</v>
      </c>
      <c r="G5">
        <v>35039</v>
      </c>
      <c r="H5">
        <v>1</v>
      </c>
      <c r="I5">
        <f t="shared" ref="I5:I68" si="0">(G5-F5)/F5</f>
        <v>0</v>
      </c>
      <c r="J5">
        <v>0.4</v>
      </c>
      <c r="K5">
        <f t="shared" ref="K5:K68" si="1">F5*H5*J5</f>
        <v>14015.6</v>
      </c>
      <c r="L5" t="s">
        <v>37</v>
      </c>
      <c r="M5" t="s">
        <v>38</v>
      </c>
      <c r="N5">
        <f t="shared" ref="N5:N68" si="2">K5*$N$2*$O$2</f>
        <v>4168.8000640000009</v>
      </c>
      <c r="O5">
        <f t="shared" ref="O5:O68" si="3">(X5-N5)/X5</f>
        <v>9.5754012472208466E-2</v>
      </c>
      <c r="P5" t="s">
        <v>39</v>
      </c>
      <c r="Q5">
        <f t="shared" ref="Q5:Q68" si="4">T5/F5</f>
        <v>0.58477696281286562</v>
      </c>
      <c r="R5">
        <f t="shared" ref="R5:R68" si="5">F5*Q5</f>
        <v>20490</v>
      </c>
      <c r="S5">
        <f t="shared" ref="S5:S68" si="6">G5*Q5</f>
        <v>20490</v>
      </c>
      <c r="T5">
        <v>20490</v>
      </c>
      <c r="U5">
        <f t="shared" ref="U5:U68" si="7">(T5-R5)/R5</f>
        <v>0</v>
      </c>
      <c r="V5">
        <v>1</v>
      </c>
      <c r="W5">
        <v>0.22500000000000001</v>
      </c>
      <c r="X5">
        <f t="shared" ref="X5:X68" si="8">R5*V5*W5</f>
        <v>4610.25</v>
      </c>
      <c r="Y5">
        <f t="shared" ref="Y5:Y68" si="9">S5*W5*V5</f>
        <v>4610.25</v>
      </c>
      <c r="Z5">
        <f t="shared" ref="Z5:Z68" si="10">(Y5-X5)/X5</f>
        <v>0</v>
      </c>
      <c r="AB5" t="s">
        <v>40</v>
      </c>
    </row>
    <row r="6" spans="1:31" x14ac:dyDescent="0.25">
      <c r="A6" t="s">
        <v>34</v>
      </c>
      <c r="D6" t="s">
        <v>41</v>
      </c>
      <c r="E6" t="s">
        <v>36</v>
      </c>
      <c r="F6">
        <v>61400</v>
      </c>
      <c r="G6">
        <v>61400</v>
      </c>
      <c r="H6">
        <v>1</v>
      </c>
      <c r="I6">
        <f t="shared" si="0"/>
        <v>0</v>
      </c>
      <c r="J6">
        <v>0.4</v>
      </c>
      <c r="K6">
        <f t="shared" si="1"/>
        <v>24560</v>
      </c>
      <c r="L6" t="s">
        <v>37</v>
      </c>
      <c r="M6" t="s">
        <v>38</v>
      </c>
      <c r="N6">
        <f t="shared" si="2"/>
        <v>7305.126400000001</v>
      </c>
      <c r="O6">
        <f t="shared" si="3"/>
        <v>9.8883473648502668E-2</v>
      </c>
      <c r="P6" t="s">
        <v>39</v>
      </c>
      <c r="Q6">
        <f t="shared" si="4"/>
        <v>0.58680781758957656</v>
      </c>
      <c r="R6">
        <f t="shared" si="5"/>
        <v>36030</v>
      </c>
      <c r="S6">
        <f t="shared" si="6"/>
        <v>36030</v>
      </c>
      <c r="T6">
        <v>36030</v>
      </c>
      <c r="U6">
        <f t="shared" si="7"/>
        <v>0</v>
      </c>
      <c r="V6">
        <v>1</v>
      </c>
      <c r="W6">
        <v>0.22500000000000001</v>
      </c>
      <c r="X6">
        <f t="shared" si="8"/>
        <v>8106.75</v>
      </c>
      <c r="Y6">
        <f t="shared" si="9"/>
        <v>8106.75</v>
      </c>
      <c r="Z6">
        <f t="shared" si="10"/>
        <v>0</v>
      </c>
      <c r="AB6" t="s">
        <v>40</v>
      </c>
    </row>
    <row r="7" spans="1:31" x14ac:dyDescent="0.25">
      <c r="A7" t="s">
        <v>34</v>
      </c>
      <c r="D7" t="s">
        <v>42</v>
      </c>
      <c r="E7" t="s">
        <v>36</v>
      </c>
      <c r="F7">
        <v>33373</v>
      </c>
      <c r="G7">
        <v>33373</v>
      </c>
      <c r="H7">
        <v>1</v>
      </c>
      <c r="I7">
        <f t="shared" si="0"/>
        <v>0</v>
      </c>
      <c r="J7">
        <v>0.4</v>
      </c>
      <c r="K7">
        <f t="shared" si="1"/>
        <v>13349.2</v>
      </c>
      <c r="L7" t="s">
        <v>37</v>
      </c>
      <c r="M7" t="s">
        <v>38</v>
      </c>
      <c r="N7">
        <f t="shared" si="2"/>
        <v>3970.5860480000006</v>
      </c>
      <c r="O7">
        <f t="shared" si="3"/>
        <v>0.10009948484333377</v>
      </c>
      <c r="P7" t="s">
        <v>39</v>
      </c>
      <c r="Q7">
        <f t="shared" si="4"/>
        <v>0.58760075510142928</v>
      </c>
      <c r="R7">
        <f t="shared" si="5"/>
        <v>19610</v>
      </c>
      <c r="S7">
        <f t="shared" si="6"/>
        <v>19610</v>
      </c>
      <c r="T7">
        <v>19610</v>
      </c>
      <c r="U7">
        <f t="shared" si="7"/>
        <v>0</v>
      </c>
      <c r="V7">
        <v>1</v>
      </c>
      <c r="W7">
        <v>0.22500000000000001</v>
      </c>
      <c r="X7">
        <f t="shared" si="8"/>
        <v>4412.25</v>
      </c>
      <c r="Y7">
        <f t="shared" si="9"/>
        <v>4412.25</v>
      </c>
      <c r="Z7">
        <f t="shared" si="10"/>
        <v>0</v>
      </c>
      <c r="AB7" t="s">
        <v>40</v>
      </c>
    </row>
    <row r="8" spans="1:31" x14ac:dyDescent="0.25">
      <c r="A8" t="s">
        <v>34</v>
      </c>
      <c r="D8" t="s">
        <v>43</v>
      </c>
      <c r="E8" t="s">
        <v>36</v>
      </c>
      <c r="F8">
        <v>58808</v>
      </c>
      <c r="G8">
        <v>58808</v>
      </c>
      <c r="H8">
        <v>1</v>
      </c>
      <c r="I8">
        <f t="shared" si="0"/>
        <v>0</v>
      </c>
      <c r="J8">
        <v>0.4</v>
      </c>
      <c r="K8">
        <f t="shared" si="1"/>
        <v>23523.200000000001</v>
      </c>
      <c r="L8" t="s">
        <v>37</v>
      </c>
      <c r="M8" t="s">
        <v>38</v>
      </c>
      <c r="N8">
        <f t="shared" si="2"/>
        <v>6996.740608000001</v>
      </c>
      <c r="O8">
        <f t="shared" si="3"/>
        <v>0.10021339917695461</v>
      </c>
      <c r="P8" t="s">
        <v>39</v>
      </c>
      <c r="Q8">
        <f t="shared" si="4"/>
        <v>0.58767514623860695</v>
      </c>
      <c r="R8">
        <f t="shared" si="5"/>
        <v>34560</v>
      </c>
      <c r="S8">
        <f t="shared" si="6"/>
        <v>34560</v>
      </c>
      <c r="T8">
        <v>34560</v>
      </c>
      <c r="U8">
        <f t="shared" si="7"/>
        <v>0</v>
      </c>
      <c r="V8">
        <v>1</v>
      </c>
      <c r="W8">
        <v>0.22500000000000001</v>
      </c>
      <c r="X8">
        <f t="shared" si="8"/>
        <v>7776</v>
      </c>
      <c r="Y8">
        <f t="shared" si="9"/>
        <v>7776</v>
      </c>
      <c r="Z8">
        <f t="shared" si="10"/>
        <v>0</v>
      </c>
      <c r="AB8" t="s">
        <v>40</v>
      </c>
    </row>
    <row r="9" spans="1:31" x14ac:dyDescent="0.25">
      <c r="A9" t="s">
        <v>34</v>
      </c>
      <c r="D9" t="s">
        <v>44</v>
      </c>
      <c r="E9" t="s">
        <v>36</v>
      </c>
      <c r="F9">
        <v>33373</v>
      </c>
      <c r="G9">
        <v>33373</v>
      </c>
      <c r="H9">
        <v>1</v>
      </c>
      <c r="I9">
        <f t="shared" si="0"/>
        <v>0</v>
      </c>
      <c r="J9">
        <v>0.4</v>
      </c>
      <c r="K9">
        <f t="shared" si="1"/>
        <v>13349.2</v>
      </c>
      <c r="L9" t="s">
        <v>37</v>
      </c>
      <c r="M9" t="s">
        <v>38</v>
      </c>
      <c r="N9">
        <f t="shared" si="2"/>
        <v>3970.5860480000006</v>
      </c>
      <c r="O9">
        <f t="shared" si="3"/>
        <v>0.10009948484333377</v>
      </c>
      <c r="P9" t="s">
        <v>39</v>
      </c>
      <c r="Q9">
        <f t="shared" si="4"/>
        <v>0.58760075510142928</v>
      </c>
      <c r="R9">
        <f t="shared" si="5"/>
        <v>19610</v>
      </c>
      <c r="S9">
        <f t="shared" si="6"/>
        <v>19610</v>
      </c>
      <c r="T9">
        <v>19610</v>
      </c>
      <c r="U9">
        <f t="shared" si="7"/>
        <v>0</v>
      </c>
      <c r="V9">
        <v>1</v>
      </c>
      <c r="W9">
        <v>0.22500000000000001</v>
      </c>
      <c r="X9">
        <f t="shared" si="8"/>
        <v>4412.25</v>
      </c>
      <c r="Y9">
        <f t="shared" si="9"/>
        <v>4412.25</v>
      </c>
      <c r="Z9">
        <f t="shared" si="10"/>
        <v>0</v>
      </c>
      <c r="AB9" t="s">
        <v>40</v>
      </c>
    </row>
    <row r="10" spans="1:31" x14ac:dyDescent="0.25">
      <c r="A10" t="s">
        <v>34</v>
      </c>
      <c r="D10" t="s">
        <v>45</v>
      </c>
      <c r="E10" t="s">
        <v>36</v>
      </c>
      <c r="F10">
        <v>58808</v>
      </c>
      <c r="G10">
        <v>58808</v>
      </c>
      <c r="H10">
        <v>1</v>
      </c>
      <c r="I10">
        <f t="shared" si="0"/>
        <v>0</v>
      </c>
      <c r="J10">
        <v>0.4</v>
      </c>
      <c r="K10">
        <f t="shared" si="1"/>
        <v>23523.200000000001</v>
      </c>
      <c r="L10" t="s">
        <v>37</v>
      </c>
      <c r="M10" t="s">
        <v>38</v>
      </c>
      <c r="N10">
        <f t="shared" si="2"/>
        <v>6996.740608000001</v>
      </c>
      <c r="O10">
        <f t="shared" si="3"/>
        <v>0.10021339917695461</v>
      </c>
      <c r="P10" t="s">
        <v>39</v>
      </c>
      <c r="Q10">
        <f t="shared" si="4"/>
        <v>0.58767514623860695</v>
      </c>
      <c r="R10">
        <f t="shared" si="5"/>
        <v>34560</v>
      </c>
      <c r="S10">
        <f t="shared" si="6"/>
        <v>34560</v>
      </c>
      <c r="T10">
        <v>34560</v>
      </c>
      <c r="U10">
        <f t="shared" si="7"/>
        <v>0</v>
      </c>
      <c r="V10">
        <v>1</v>
      </c>
      <c r="W10">
        <v>0.22500000000000001</v>
      </c>
      <c r="X10">
        <f t="shared" si="8"/>
        <v>7776</v>
      </c>
      <c r="Y10">
        <f t="shared" si="9"/>
        <v>7776</v>
      </c>
      <c r="Z10">
        <f t="shared" si="10"/>
        <v>0</v>
      </c>
      <c r="AB10" t="s">
        <v>40</v>
      </c>
    </row>
    <row r="11" spans="1:31" x14ac:dyDescent="0.25">
      <c r="A11" t="s">
        <v>34</v>
      </c>
      <c r="D11" t="s">
        <v>46</v>
      </c>
      <c r="E11" t="s">
        <v>36</v>
      </c>
      <c r="F11">
        <v>33373</v>
      </c>
      <c r="G11">
        <v>33373</v>
      </c>
      <c r="H11">
        <v>1</v>
      </c>
      <c r="I11">
        <f t="shared" si="0"/>
        <v>0</v>
      </c>
      <c r="J11">
        <v>0.4</v>
      </c>
      <c r="K11">
        <f t="shared" si="1"/>
        <v>13349.2</v>
      </c>
      <c r="L11" t="s">
        <v>37</v>
      </c>
      <c r="M11" t="s">
        <v>38</v>
      </c>
      <c r="N11">
        <f t="shared" si="2"/>
        <v>3970.5860480000006</v>
      </c>
      <c r="O11">
        <f t="shared" si="3"/>
        <v>0.10009948484333377</v>
      </c>
      <c r="P11" t="s">
        <v>39</v>
      </c>
      <c r="Q11">
        <f t="shared" si="4"/>
        <v>0.58760075510142928</v>
      </c>
      <c r="R11">
        <f t="shared" si="5"/>
        <v>19610</v>
      </c>
      <c r="S11">
        <f t="shared" si="6"/>
        <v>19610</v>
      </c>
      <c r="T11">
        <v>19610</v>
      </c>
      <c r="U11">
        <f t="shared" si="7"/>
        <v>0</v>
      </c>
      <c r="V11">
        <v>1</v>
      </c>
      <c r="W11">
        <v>0.22500000000000001</v>
      </c>
      <c r="X11">
        <f t="shared" si="8"/>
        <v>4412.25</v>
      </c>
      <c r="Y11">
        <f t="shared" si="9"/>
        <v>4412.25</v>
      </c>
      <c r="Z11">
        <f t="shared" si="10"/>
        <v>0</v>
      </c>
      <c r="AB11" t="s">
        <v>40</v>
      </c>
    </row>
    <row r="12" spans="1:31" x14ac:dyDescent="0.25">
      <c r="A12" t="s">
        <v>34</v>
      </c>
      <c r="D12" t="s">
        <v>47</v>
      </c>
      <c r="E12" t="s">
        <v>36</v>
      </c>
      <c r="F12">
        <v>58808</v>
      </c>
      <c r="G12">
        <v>58808</v>
      </c>
      <c r="H12">
        <v>1</v>
      </c>
      <c r="I12">
        <f t="shared" si="0"/>
        <v>0</v>
      </c>
      <c r="J12">
        <v>0.4</v>
      </c>
      <c r="K12">
        <f t="shared" si="1"/>
        <v>23523.200000000001</v>
      </c>
      <c r="L12" t="s">
        <v>37</v>
      </c>
      <c r="M12" t="s">
        <v>38</v>
      </c>
      <c r="N12">
        <f t="shared" si="2"/>
        <v>6996.740608000001</v>
      </c>
      <c r="O12">
        <f t="shared" si="3"/>
        <v>0.10021339917695461</v>
      </c>
      <c r="P12" t="s">
        <v>39</v>
      </c>
      <c r="Q12">
        <f t="shared" si="4"/>
        <v>0.58767514623860695</v>
      </c>
      <c r="R12">
        <f t="shared" si="5"/>
        <v>34560</v>
      </c>
      <c r="S12">
        <f t="shared" si="6"/>
        <v>34560</v>
      </c>
      <c r="T12">
        <v>34560</v>
      </c>
      <c r="U12">
        <f t="shared" si="7"/>
        <v>0</v>
      </c>
      <c r="V12">
        <v>1</v>
      </c>
      <c r="W12">
        <v>0.22500000000000001</v>
      </c>
      <c r="X12">
        <f t="shared" si="8"/>
        <v>7776</v>
      </c>
      <c r="Y12">
        <f t="shared" si="9"/>
        <v>7776</v>
      </c>
      <c r="Z12">
        <f t="shared" si="10"/>
        <v>0</v>
      </c>
      <c r="AB12" t="s">
        <v>40</v>
      </c>
    </row>
    <row r="13" spans="1:31" x14ac:dyDescent="0.25">
      <c r="A13" t="s">
        <v>34</v>
      </c>
      <c r="D13" t="s">
        <v>48</v>
      </c>
      <c r="E13" t="s">
        <v>36</v>
      </c>
      <c r="F13">
        <v>33373</v>
      </c>
      <c r="G13">
        <v>33373</v>
      </c>
      <c r="H13">
        <v>1</v>
      </c>
      <c r="I13">
        <f t="shared" si="0"/>
        <v>0</v>
      </c>
      <c r="J13">
        <v>0.4</v>
      </c>
      <c r="K13">
        <f t="shared" si="1"/>
        <v>13349.2</v>
      </c>
      <c r="L13" t="s">
        <v>37</v>
      </c>
      <c r="M13" t="s">
        <v>38</v>
      </c>
      <c r="N13">
        <f t="shared" si="2"/>
        <v>3970.5860480000006</v>
      </c>
      <c r="O13">
        <f t="shared" si="3"/>
        <v>0.10009948484333377</v>
      </c>
      <c r="P13" t="s">
        <v>39</v>
      </c>
      <c r="Q13">
        <f t="shared" si="4"/>
        <v>0.58760075510142928</v>
      </c>
      <c r="R13">
        <f t="shared" si="5"/>
        <v>19610</v>
      </c>
      <c r="S13">
        <f t="shared" si="6"/>
        <v>19610</v>
      </c>
      <c r="T13">
        <v>19610</v>
      </c>
      <c r="U13">
        <f t="shared" si="7"/>
        <v>0</v>
      </c>
      <c r="V13">
        <v>1</v>
      </c>
      <c r="W13">
        <v>0.22500000000000001</v>
      </c>
      <c r="X13">
        <f t="shared" si="8"/>
        <v>4412.25</v>
      </c>
      <c r="Y13">
        <f t="shared" si="9"/>
        <v>4412.25</v>
      </c>
      <c r="Z13">
        <f t="shared" si="10"/>
        <v>0</v>
      </c>
      <c r="AB13" t="s">
        <v>40</v>
      </c>
    </row>
    <row r="14" spans="1:31" x14ac:dyDescent="0.25">
      <c r="A14" t="s">
        <v>34</v>
      </c>
      <c r="D14" t="s">
        <v>49</v>
      </c>
      <c r="E14" t="s">
        <v>36</v>
      </c>
      <c r="F14">
        <v>58808</v>
      </c>
      <c r="G14">
        <v>58808</v>
      </c>
      <c r="H14">
        <v>1</v>
      </c>
      <c r="I14">
        <f t="shared" si="0"/>
        <v>0</v>
      </c>
      <c r="J14">
        <v>0.4</v>
      </c>
      <c r="K14">
        <f t="shared" si="1"/>
        <v>23523.200000000001</v>
      </c>
      <c r="L14" t="s">
        <v>37</v>
      </c>
      <c r="M14" t="s">
        <v>38</v>
      </c>
      <c r="N14">
        <f t="shared" si="2"/>
        <v>6996.740608000001</v>
      </c>
      <c r="O14">
        <f t="shared" si="3"/>
        <v>0.10021339917695461</v>
      </c>
      <c r="P14" t="s">
        <v>39</v>
      </c>
      <c r="Q14">
        <f t="shared" si="4"/>
        <v>0.58767514623860695</v>
      </c>
      <c r="R14">
        <f t="shared" si="5"/>
        <v>34560</v>
      </c>
      <c r="S14">
        <f t="shared" si="6"/>
        <v>34560</v>
      </c>
      <c r="T14">
        <v>34560</v>
      </c>
      <c r="U14">
        <f t="shared" si="7"/>
        <v>0</v>
      </c>
      <c r="V14">
        <v>1</v>
      </c>
      <c r="W14">
        <v>0.22500000000000001</v>
      </c>
      <c r="X14">
        <f t="shared" si="8"/>
        <v>7776</v>
      </c>
      <c r="Y14">
        <f t="shared" si="9"/>
        <v>7776</v>
      </c>
      <c r="Z14">
        <f t="shared" si="10"/>
        <v>0</v>
      </c>
      <c r="AB14" t="s">
        <v>40</v>
      </c>
    </row>
    <row r="15" spans="1:31" x14ac:dyDescent="0.25">
      <c r="A15" t="s">
        <v>34</v>
      </c>
      <c r="D15" t="s">
        <v>50</v>
      </c>
      <c r="E15" t="s">
        <v>36</v>
      </c>
      <c r="F15">
        <v>33373</v>
      </c>
      <c r="G15">
        <v>33373</v>
      </c>
      <c r="H15">
        <v>1</v>
      </c>
      <c r="I15">
        <f t="shared" si="0"/>
        <v>0</v>
      </c>
      <c r="J15">
        <v>0.4</v>
      </c>
      <c r="K15">
        <f t="shared" si="1"/>
        <v>13349.2</v>
      </c>
      <c r="L15" t="s">
        <v>37</v>
      </c>
      <c r="M15" t="s">
        <v>38</v>
      </c>
      <c r="N15">
        <f t="shared" si="2"/>
        <v>3970.5860480000006</v>
      </c>
      <c r="O15">
        <f t="shared" si="3"/>
        <v>0.10009948484333377</v>
      </c>
      <c r="P15" t="s">
        <v>39</v>
      </c>
      <c r="Q15">
        <f t="shared" si="4"/>
        <v>0.58760075510142928</v>
      </c>
      <c r="R15">
        <f t="shared" si="5"/>
        <v>19610</v>
      </c>
      <c r="S15">
        <f t="shared" si="6"/>
        <v>19610</v>
      </c>
      <c r="T15">
        <v>19610</v>
      </c>
      <c r="U15">
        <f t="shared" si="7"/>
        <v>0</v>
      </c>
      <c r="V15">
        <v>1</v>
      </c>
      <c r="W15">
        <v>0.22500000000000001</v>
      </c>
      <c r="X15">
        <f t="shared" si="8"/>
        <v>4412.25</v>
      </c>
      <c r="Y15">
        <f t="shared" si="9"/>
        <v>4412.25</v>
      </c>
      <c r="Z15">
        <f t="shared" si="10"/>
        <v>0</v>
      </c>
      <c r="AB15" t="s">
        <v>40</v>
      </c>
    </row>
    <row r="16" spans="1:31" x14ac:dyDescent="0.25">
      <c r="A16" t="s">
        <v>34</v>
      </c>
      <c r="D16" t="s">
        <v>51</v>
      </c>
      <c r="E16" t="s">
        <v>36</v>
      </c>
      <c r="F16">
        <v>58808</v>
      </c>
      <c r="G16">
        <v>58808</v>
      </c>
      <c r="H16">
        <v>1</v>
      </c>
      <c r="I16">
        <f t="shared" si="0"/>
        <v>0</v>
      </c>
      <c r="J16">
        <v>0.4</v>
      </c>
      <c r="K16">
        <f t="shared" si="1"/>
        <v>23523.200000000001</v>
      </c>
      <c r="L16" t="s">
        <v>37</v>
      </c>
      <c r="M16" t="s">
        <v>38</v>
      </c>
      <c r="N16">
        <f t="shared" si="2"/>
        <v>6996.740608000001</v>
      </c>
      <c r="O16">
        <f t="shared" si="3"/>
        <v>0.10021339917695461</v>
      </c>
      <c r="P16" t="s">
        <v>39</v>
      </c>
      <c r="Q16">
        <f t="shared" si="4"/>
        <v>0.58767514623860695</v>
      </c>
      <c r="R16">
        <f t="shared" si="5"/>
        <v>34560</v>
      </c>
      <c r="S16">
        <f t="shared" si="6"/>
        <v>34560</v>
      </c>
      <c r="T16">
        <v>34560</v>
      </c>
      <c r="U16">
        <f t="shared" si="7"/>
        <v>0</v>
      </c>
      <c r="V16">
        <v>1</v>
      </c>
      <c r="W16">
        <v>0.22500000000000001</v>
      </c>
      <c r="X16">
        <f t="shared" si="8"/>
        <v>7776</v>
      </c>
      <c r="Y16">
        <f t="shared" si="9"/>
        <v>7776</v>
      </c>
      <c r="Z16">
        <f t="shared" si="10"/>
        <v>0</v>
      </c>
      <c r="AB16" t="s">
        <v>40</v>
      </c>
    </row>
    <row r="17" spans="1:28" x14ac:dyDescent="0.25">
      <c r="A17" t="s">
        <v>34</v>
      </c>
      <c r="D17" t="s">
        <v>52</v>
      </c>
      <c r="E17" t="s">
        <v>36</v>
      </c>
      <c r="F17">
        <v>33373</v>
      </c>
      <c r="G17">
        <v>33373</v>
      </c>
      <c r="H17">
        <v>1</v>
      </c>
      <c r="I17">
        <f t="shared" si="0"/>
        <v>0</v>
      </c>
      <c r="J17">
        <v>0.4</v>
      </c>
      <c r="K17">
        <f t="shared" si="1"/>
        <v>13349.2</v>
      </c>
      <c r="L17" t="s">
        <v>37</v>
      </c>
      <c r="M17" t="s">
        <v>38</v>
      </c>
      <c r="N17">
        <f t="shared" si="2"/>
        <v>3970.5860480000006</v>
      </c>
      <c r="O17">
        <f t="shared" si="3"/>
        <v>0.10009948484333377</v>
      </c>
      <c r="P17" t="s">
        <v>39</v>
      </c>
      <c r="Q17">
        <f t="shared" si="4"/>
        <v>0.58760075510142928</v>
      </c>
      <c r="R17">
        <f t="shared" si="5"/>
        <v>19610</v>
      </c>
      <c r="S17">
        <f t="shared" si="6"/>
        <v>19610</v>
      </c>
      <c r="T17">
        <v>19610</v>
      </c>
      <c r="U17">
        <f t="shared" si="7"/>
        <v>0</v>
      </c>
      <c r="V17">
        <v>1</v>
      </c>
      <c r="W17">
        <v>0.22500000000000001</v>
      </c>
      <c r="X17">
        <f t="shared" si="8"/>
        <v>4412.25</v>
      </c>
      <c r="Y17">
        <f t="shared" si="9"/>
        <v>4412.25</v>
      </c>
      <c r="Z17">
        <f t="shared" si="10"/>
        <v>0</v>
      </c>
      <c r="AB17" t="s">
        <v>40</v>
      </c>
    </row>
    <row r="18" spans="1:28" x14ac:dyDescent="0.25">
      <c r="A18" t="s">
        <v>34</v>
      </c>
      <c r="D18" t="s">
        <v>53</v>
      </c>
      <c r="E18" t="s">
        <v>36</v>
      </c>
      <c r="F18">
        <v>58808</v>
      </c>
      <c r="G18">
        <v>58808</v>
      </c>
      <c r="H18">
        <v>1</v>
      </c>
      <c r="I18">
        <f t="shared" si="0"/>
        <v>0</v>
      </c>
      <c r="J18">
        <v>0.4</v>
      </c>
      <c r="K18">
        <f t="shared" si="1"/>
        <v>23523.200000000001</v>
      </c>
      <c r="L18" t="s">
        <v>37</v>
      </c>
      <c r="M18" t="s">
        <v>38</v>
      </c>
      <c r="N18">
        <f t="shared" si="2"/>
        <v>6996.740608000001</v>
      </c>
      <c r="O18">
        <f t="shared" si="3"/>
        <v>0.10021339917695461</v>
      </c>
      <c r="P18" t="s">
        <v>39</v>
      </c>
      <c r="Q18">
        <f t="shared" si="4"/>
        <v>0.58767514623860695</v>
      </c>
      <c r="R18">
        <f t="shared" si="5"/>
        <v>34560</v>
      </c>
      <c r="S18">
        <f t="shared" si="6"/>
        <v>34560</v>
      </c>
      <c r="T18">
        <v>34560</v>
      </c>
      <c r="U18">
        <f t="shared" si="7"/>
        <v>0</v>
      </c>
      <c r="V18">
        <v>1</v>
      </c>
      <c r="W18">
        <v>0.22500000000000001</v>
      </c>
      <c r="X18">
        <f t="shared" si="8"/>
        <v>7776</v>
      </c>
      <c r="Y18">
        <f t="shared" si="9"/>
        <v>7776</v>
      </c>
      <c r="Z18">
        <f t="shared" si="10"/>
        <v>0</v>
      </c>
      <c r="AB18" t="s">
        <v>40</v>
      </c>
    </row>
    <row r="19" spans="1:28" x14ac:dyDescent="0.25">
      <c r="A19" t="s">
        <v>34</v>
      </c>
      <c r="D19" t="s">
        <v>54</v>
      </c>
      <c r="E19" t="s">
        <v>36</v>
      </c>
      <c r="F19">
        <v>33373</v>
      </c>
      <c r="G19">
        <v>33373</v>
      </c>
      <c r="H19">
        <v>1</v>
      </c>
      <c r="I19">
        <f t="shared" si="0"/>
        <v>0</v>
      </c>
      <c r="J19">
        <v>0.4</v>
      </c>
      <c r="K19">
        <f t="shared" si="1"/>
        <v>13349.2</v>
      </c>
      <c r="L19" t="s">
        <v>37</v>
      </c>
      <c r="M19" t="s">
        <v>38</v>
      </c>
      <c r="N19">
        <f t="shared" si="2"/>
        <v>3970.5860480000006</v>
      </c>
      <c r="O19">
        <f t="shared" si="3"/>
        <v>0.10009948484333377</v>
      </c>
      <c r="P19" t="s">
        <v>39</v>
      </c>
      <c r="Q19">
        <f t="shared" si="4"/>
        <v>0.58760075510142928</v>
      </c>
      <c r="R19">
        <f t="shared" si="5"/>
        <v>19610</v>
      </c>
      <c r="S19">
        <f t="shared" si="6"/>
        <v>19610</v>
      </c>
      <c r="T19">
        <v>19610</v>
      </c>
      <c r="U19">
        <f t="shared" si="7"/>
        <v>0</v>
      </c>
      <c r="V19">
        <v>1</v>
      </c>
      <c r="W19">
        <v>0.22500000000000001</v>
      </c>
      <c r="X19">
        <f t="shared" si="8"/>
        <v>4412.25</v>
      </c>
      <c r="Y19">
        <f t="shared" si="9"/>
        <v>4412.25</v>
      </c>
      <c r="Z19">
        <f t="shared" si="10"/>
        <v>0</v>
      </c>
      <c r="AB19" t="s">
        <v>40</v>
      </c>
    </row>
    <row r="20" spans="1:28" x14ac:dyDescent="0.25">
      <c r="A20" t="s">
        <v>34</v>
      </c>
      <c r="D20" t="s">
        <v>55</v>
      </c>
      <c r="E20" t="s">
        <v>36</v>
      </c>
      <c r="F20">
        <v>58808</v>
      </c>
      <c r="G20">
        <v>58808</v>
      </c>
      <c r="H20">
        <v>1</v>
      </c>
      <c r="I20">
        <f t="shared" si="0"/>
        <v>0</v>
      </c>
      <c r="J20">
        <v>0.4</v>
      </c>
      <c r="K20">
        <f t="shared" si="1"/>
        <v>23523.200000000001</v>
      </c>
      <c r="L20" t="s">
        <v>37</v>
      </c>
      <c r="M20" t="s">
        <v>38</v>
      </c>
      <c r="N20">
        <f t="shared" si="2"/>
        <v>6996.740608000001</v>
      </c>
      <c r="O20">
        <f t="shared" si="3"/>
        <v>0.10021339917695461</v>
      </c>
      <c r="P20" t="s">
        <v>39</v>
      </c>
      <c r="Q20">
        <f t="shared" si="4"/>
        <v>0.58767514623860695</v>
      </c>
      <c r="R20">
        <f t="shared" si="5"/>
        <v>34560</v>
      </c>
      <c r="S20">
        <f t="shared" si="6"/>
        <v>34560</v>
      </c>
      <c r="T20">
        <v>34560</v>
      </c>
      <c r="U20">
        <f t="shared" si="7"/>
        <v>0</v>
      </c>
      <c r="V20">
        <v>1</v>
      </c>
      <c r="W20">
        <v>0.22500000000000001</v>
      </c>
      <c r="X20">
        <f t="shared" si="8"/>
        <v>7776</v>
      </c>
      <c r="Y20">
        <f t="shared" si="9"/>
        <v>7776</v>
      </c>
      <c r="Z20">
        <f t="shared" si="10"/>
        <v>0</v>
      </c>
      <c r="AB20" t="s">
        <v>40</v>
      </c>
    </row>
    <row r="21" spans="1:28" x14ac:dyDescent="0.25">
      <c r="A21" t="s">
        <v>34</v>
      </c>
      <c r="D21" t="s">
        <v>56</v>
      </c>
      <c r="E21" t="s">
        <v>36</v>
      </c>
      <c r="F21">
        <v>42447</v>
      </c>
      <c r="G21">
        <v>42447</v>
      </c>
      <c r="H21">
        <v>1</v>
      </c>
      <c r="I21">
        <f t="shared" si="0"/>
        <v>0</v>
      </c>
      <c r="J21">
        <v>0.4</v>
      </c>
      <c r="K21">
        <f t="shared" si="1"/>
        <v>16978.8</v>
      </c>
      <c r="L21" t="s">
        <v>37</v>
      </c>
      <c r="M21" t="s">
        <v>38</v>
      </c>
      <c r="N21">
        <f t="shared" si="2"/>
        <v>5050.1742720000002</v>
      </c>
      <c r="O21">
        <f t="shared" si="3"/>
        <v>0.10147241846810778</v>
      </c>
      <c r="P21" t="s">
        <v>39</v>
      </c>
      <c r="Q21">
        <f t="shared" si="4"/>
        <v>0.58849859825193773</v>
      </c>
      <c r="R21">
        <f t="shared" si="5"/>
        <v>24980</v>
      </c>
      <c r="S21">
        <f t="shared" si="6"/>
        <v>24980</v>
      </c>
      <c r="T21">
        <v>24980</v>
      </c>
      <c r="U21">
        <f t="shared" si="7"/>
        <v>0</v>
      </c>
      <c r="V21">
        <v>1</v>
      </c>
      <c r="W21">
        <v>0.22500000000000001</v>
      </c>
      <c r="X21">
        <f t="shared" si="8"/>
        <v>5620.5</v>
      </c>
      <c r="Y21">
        <f t="shared" si="9"/>
        <v>5620.5</v>
      </c>
      <c r="Z21">
        <f t="shared" si="10"/>
        <v>0</v>
      </c>
      <c r="AB21" t="s">
        <v>40</v>
      </c>
    </row>
    <row r="22" spans="1:28" x14ac:dyDescent="0.25">
      <c r="A22" t="s">
        <v>34</v>
      </c>
      <c r="D22" t="s">
        <v>57</v>
      </c>
      <c r="E22" t="s">
        <v>36</v>
      </c>
      <c r="F22">
        <v>69549</v>
      </c>
      <c r="G22">
        <v>69549</v>
      </c>
      <c r="H22">
        <v>1</v>
      </c>
      <c r="I22">
        <f t="shared" si="0"/>
        <v>0</v>
      </c>
      <c r="J22">
        <v>0.4</v>
      </c>
      <c r="K22">
        <f t="shared" si="1"/>
        <v>27819.600000000002</v>
      </c>
      <c r="L22" t="s">
        <v>37</v>
      </c>
      <c r="M22" t="s">
        <v>38</v>
      </c>
      <c r="N22">
        <f t="shared" si="2"/>
        <v>8274.6618240000025</v>
      </c>
      <c r="O22">
        <f t="shared" si="3"/>
        <v>9.9062352441613308E-2</v>
      </c>
      <c r="P22" t="s">
        <v>39</v>
      </c>
      <c r="Q22">
        <f t="shared" si="4"/>
        <v>0.58692432673366979</v>
      </c>
      <c r="R22">
        <f t="shared" si="5"/>
        <v>40820</v>
      </c>
      <c r="S22">
        <f t="shared" si="6"/>
        <v>40820</v>
      </c>
      <c r="T22">
        <v>40820</v>
      </c>
      <c r="U22">
        <f t="shared" si="7"/>
        <v>0</v>
      </c>
      <c r="V22">
        <v>1</v>
      </c>
      <c r="W22">
        <v>0.22500000000000001</v>
      </c>
      <c r="X22">
        <f t="shared" si="8"/>
        <v>9184.5</v>
      </c>
      <c r="Y22">
        <f t="shared" si="9"/>
        <v>9184.5</v>
      </c>
      <c r="Z22">
        <f t="shared" si="10"/>
        <v>0</v>
      </c>
      <c r="AB22" t="s">
        <v>40</v>
      </c>
    </row>
    <row r="23" spans="1:28" x14ac:dyDescent="0.25">
      <c r="A23" t="s">
        <v>34</v>
      </c>
      <c r="D23" t="s">
        <v>58</v>
      </c>
      <c r="E23" t="s">
        <v>36</v>
      </c>
      <c r="F23">
        <v>42447</v>
      </c>
      <c r="G23">
        <v>42447</v>
      </c>
      <c r="H23">
        <v>1</v>
      </c>
      <c r="I23">
        <f t="shared" si="0"/>
        <v>0</v>
      </c>
      <c r="J23">
        <v>0.4</v>
      </c>
      <c r="K23">
        <f t="shared" si="1"/>
        <v>16978.8</v>
      </c>
      <c r="L23" t="s">
        <v>37</v>
      </c>
      <c r="M23" t="s">
        <v>38</v>
      </c>
      <c r="N23">
        <f t="shared" si="2"/>
        <v>5050.1742720000002</v>
      </c>
      <c r="O23">
        <f t="shared" si="3"/>
        <v>0.10147241846810778</v>
      </c>
      <c r="P23" t="s">
        <v>39</v>
      </c>
      <c r="Q23">
        <f t="shared" si="4"/>
        <v>0.58849859825193773</v>
      </c>
      <c r="R23">
        <f t="shared" si="5"/>
        <v>24980</v>
      </c>
      <c r="S23">
        <f t="shared" si="6"/>
        <v>24980</v>
      </c>
      <c r="T23">
        <v>24980</v>
      </c>
      <c r="U23">
        <f t="shared" si="7"/>
        <v>0</v>
      </c>
      <c r="V23">
        <v>1</v>
      </c>
      <c r="W23">
        <v>0.22500000000000001</v>
      </c>
      <c r="X23">
        <f t="shared" si="8"/>
        <v>5620.5</v>
      </c>
      <c r="Y23">
        <f t="shared" si="9"/>
        <v>5620.5</v>
      </c>
      <c r="Z23">
        <f t="shared" si="10"/>
        <v>0</v>
      </c>
      <c r="AB23" t="s">
        <v>40</v>
      </c>
    </row>
    <row r="24" spans="1:28" x14ac:dyDescent="0.25">
      <c r="A24" t="s">
        <v>34</v>
      </c>
      <c r="D24" t="s">
        <v>59</v>
      </c>
      <c r="E24" t="s">
        <v>36</v>
      </c>
      <c r="F24">
        <v>69549</v>
      </c>
      <c r="G24">
        <v>69549</v>
      </c>
      <c r="H24">
        <v>1</v>
      </c>
      <c r="I24">
        <f t="shared" si="0"/>
        <v>0</v>
      </c>
      <c r="J24">
        <v>0.4</v>
      </c>
      <c r="K24">
        <f t="shared" si="1"/>
        <v>27819.600000000002</v>
      </c>
      <c r="L24" t="s">
        <v>37</v>
      </c>
      <c r="M24" t="s">
        <v>38</v>
      </c>
      <c r="N24">
        <f t="shared" si="2"/>
        <v>8274.6618240000025</v>
      </c>
      <c r="O24">
        <f t="shared" si="3"/>
        <v>9.9062352441613308E-2</v>
      </c>
      <c r="P24" t="s">
        <v>39</v>
      </c>
      <c r="Q24">
        <f t="shared" si="4"/>
        <v>0.58692432673366979</v>
      </c>
      <c r="R24">
        <f t="shared" si="5"/>
        <v>40820</v>
      </c>
      <c r="S24">
        <f t="shared" si="6"/>
        <v>40820</v>
      </c>
      <c r="T24">
        <v>40820</v>
      </c>
      <c r="U24">
        <f t="shared" si="7"/>
        <v>0</v>
      </c>
      <c r="V24">
        <v>1</v>
      </c>
      <c r="W24">
        <v>0.22500000000000001</v>
      </c>
      <c r="X24">
        <f t="shared" si="8"/>
        <v>9184.5</v>
      </c>
      <c r="Y24">
        <f t="shared" si="9"/>
        <v>9184.5</v>
      </c>
      <c r="Z24">
        <f t="shared" si="10"/>
        <v>0</v>
      </c>
      <c r="AB24" t="s">
        <v>40</v>
      </c>
    </row>
    <row r="25" spans="1:28" x14ac:dyDescent="0.25">
      <c r="A25" t="s">
        <v>34</v>
      </c>
      <c r="D25" t="s">
        <v>60</v>
      </c>
      <c r="E25" t="s">
        <v>36</v>
      </c>
      <c r="F25">
        <v>47447</v>
      </c>
      <c r="G25">
        <v>47447</v>
      </c>
      <c r="H25">
        <v>1</v>
      </c>
      <c r="I25">
        <f t="shared" si="0"/>
        <v>0</v>
      </c>
      <c r="J25">
        <v>0.4</v>
      </c>
      <c r="K25">
        <f t="shared" si="1"/>
        <v>18978.8</v>
      </c>
      <c r="L25" t="s">
        <v>37</v>
      </c>
      <c r="M25" t="s">
        <v>38</v>
      </c>
      <c r="N25">
        <f t="shared" si="2"/>
        <v>5645.0542720000003</v>
      </c>
      <c r="O25">
        <f t="shared" si="3"/>
        <v>9.6863567394608246E-2</v>
      </c>
      <c r="P25" t="s">
        <v>39</v>
      </c>
      <c r="Q25">
        <f t="shared" si="4"/>
        <v>0.58549539486163504</v>
      </c>
      <c r="R25">
        <f t="shared" si="5"/>
        <v>27779.999999999996</v>
      </c>
      <c r="S25">
        <f t="shared" si="6"/>
        <v>27779.999999999996</v>
      </c>
      <c r="T25">
        <v>27780</v>
      </c>
      <c r="U25">
        <f t="shared" si="7"/>
        <v>1.3095676051446052E-16</v>
      </c>
      <c r="V25">
        <v>1</v>
      </c>
      <c r="W25">
        <v>0.22500000000000001</v>
      </c>
      <c r="X25">
        <f t="shared" si="8"/>
        <v>6250.4999999999991</v>
      </c>
      <c r="Y25">
        <f t="shared" si="9"/>
        <v>6250.4999999999991</v>
      </c>
      <c r="Z25">
        <f t="shared" si="10"/>
        <v>0</v>
      </c>
      <c r="AB25" t="s">
        <v>40</v>
      </c>
    </row>
    <row r="26" spans="1:28" x14ac:dyDescent="0.25">
      <c r="A26" t="s">
        <v>34</v>
      </c>
      <c r="D26" t="s">
        <v>61</v>
      </c>
      <c r="E26" t="s">
        <v>36</v>
      </c>
      <c r="F26">
        <v>74734</v>
      </c>
      <c r="G26">
        <v>74734</v>
      </c>
      <c r="H26">
        <v>1</v>
      </c>
      <c r="I26">
        <f t="shared" si="0"/>
        <v>0</v>
      </c>
      <c r="J26">
        <v>0.4</v>
      </c>
      <c r="K26">
        <f t="shared" si="1"/>
        <v>29893.600000000002</v>
      </c>
      <c r="L26" t="s">
        <v>37</v>
      </c>
      <c r="M26" t="s">
        <v>38</v>
      </c>
      <c r="N26">
        <f t="shared" si="2"/>
        <v>8891.5523840000005</v>
      </c>
      <c r="O26">
        <f t="shared" si="3"/>
        <v>9.714392059502952E-2</v>
      </c>
      <c r="P26" t="s">
        <v>39</v>
      </c>
      <c r="Q26">
        <f t="shared" si="4"/>
        <v>0.58567720180908289</v>
      </c>
      <c r="R26">
        <f t="shared" si="5"/>
        <v>43770</v>
      </c>
      <c r="S26">
        <f t="shared" si="6"/>
        <v>43770</v>
      </c>
      <c r="T26">
        <v>43770</v>
      </c>
      <c r="U26">
        <f t="shared" si="7"/>
        <v>0</v>
      </c>
      <c r="V26">
        <v>1</v>
      </c>
      <c r="W26">
        <v>0.22500000000000001</v>
      </c>
      <c r="X26">
        <f t="shared" si="8"/>
        <v>9848.25</v>
      </c>
      <c r="Y26">
        <f t="shared" si="9"/>
        <v>9848.25</v>
      </c>
      <c r="Z26">
        <f t="shared" si="10"/>
        <v>0</v>
      </c>
      <c r="AB26" t="s">
        <v>40</v>
      </c>
    </row>
    <row r="27" spans="1:28" x14ac:dyDescent="0.25">
      <c r="A27" t="s">
        <v>34</v>
      </c>
      <c r="D27" t="s">
        <v>62</v>
      </c>
      <c r="E27" t="s">
        <v>36</v>
      </c>
      <c r="F27">
        <v>40159</v>
      </c>
      <c r="G27">
        <v>40159</v>
      </c>
      <c r="H27">
        <v>1</v>
      </c>
      <c r="I27">
        <f t="shared" si="0"/>
        <v>0</v>
      </c>
      <c r="J27">
        <v>0.4</v>
      </c>
      <c r="K27">
        <f t="shared" si="1"/>
        <v>16063.6</v>
      </c>
      <c r="L27" t="s">
        <v>37</v>
      </c>
      <c r="M27" t="s">
        <v>38</v>
      </c>
      <c r="N27">
        <f t="shared" si="2"/>
        <v>4777.9571840000008</v>
      </c>
      <c r="O27">
        <f t="shared" si="3"/>
        <v>9.6367435650118058E-2</v>
      </c>
      <c r="P27" t="s">
        <v>39</v>
      </c>
      <c r="Q27">
        <f t="shared" si="4"/>
        <v>0.58517393361388481</v>
      </c>
      <c r="R27">
        <f t="shared" si="5"/>
        <v>23500</v>
      </c>
      <c r="S27">
        <f t="shared" si="6"/>
        <v>23500</v>
      </c>
      <c r="T27">
        <v>23500</v>
      </c>
      <c r="U27">
        <f t="shared" si="7"/>
        <v>0</v>
      </c>
      <c r="V27">
        <v>1</v>
      </c>
      <c r="W27">
        <v>0.22500000000000001</v>
      </c>
      <c r="X27">
        <f t="shared" si="8"/>
        <v>5287.5</v>
      </c>
      <c r="Y27">
        <f t="shared" si="9"/>
        <v>5287.5</v>
      </c>
      <c r="Z27">
        <f t="shared" si="10"/>
        <v>0</v>
      </c>
      <c r="AB27" t="s">
        <v>40</v>
      </c>
    </row>
    <row r="28" spans="1:28" x14ac:dyDescent="0.25">
      <c r="A28" t="s">
        <v>34</v>
      </c>
      <c r="D28" t="s">
        <v>63</v>
      </c>
      <c r="E28" t="s">
        <v>36</v>
      </c>
      <c r="F28">
        <v>73743</v>
      </c>
      <c r="G28">
        <v>73743</v>
      </c>
      <c r="H28">
        <v>1</v>
      </c>
      <c r="I28">
        <f t="shared" si="0"/>
        <v>0</v>
      </c>
      <c r="J28">
        <v>0.4</v>
      </c>
      <c r="K28">
        <f t="shared" si="1"/>
        <v>29497.200000000001</v>
      </c>
      <c r="L28" t="s">
        <v>37</v>
      </c>
      <c r="M28" t="s">
        <v>38</v>
      </c>
      <c r="N28">
        <f t="shared" si="2"/>
        <v>8773.6471680000013</v>
      </c>
      <c r="O28">
        <f t="shared" si="3"/>
        <v>0.10131395682568935</v>
      </c>
      <c r="P28" t="s">
        <v>39</v>
      </c>
      <c r="Q28">
        <f t="shared" si="4"/>
        <v>0.5883948306957949</v>
      </c>
      <c r="R28">
        <f t="shared" si="5"/>
        <v>43390</v>
      </c>
      <c r="S28">
        <f t="shared" si="6"/>
        <v>43390</v>
      </c>
      <c r="T28">
        <v>43390</v>
      </c>
      <c r="U28">
        <f t="shared" si="7"/>
        <v>0</v>
      </c>
      <c r="V28">
        <v>1</v>
      </c>
      <c r="W28">
        <v>0.22500000000000001</v>
      </c>
      <c r="X28">
        <f t="shared" si="8"/>
        <v>9762.75</v>
      </c>
      <c r="Y28">
        <f t="shared" si="9"/>
        <v>9762.75</v>
      </c>
      <c r="Z28">
        <f t="shared" si="10"/>
        <v>0</v>
      </c>
      <c r="AB28" t="s">
        <v>40</v>
      </c>
    </row>
    <row r="29" spans="1:28" x14ac:dyDescent="0.25">
      <c r="A29" t="s">
        <v>34</v>
      </c>
      <c r="D29" t="s">
        <v>64</v>
      </c>
      <c r="E29" t="s">
        <v>36</v>
      </c>
      <c r="F29">
        <v>38122</v>
      </c>
      <c r="G29">
        <v>38122</v>
      </c>
      <c r="H29">
        <v>1</v>
      </c>
      <c r="I29">
        <f t="shared" si="0"/>
        <v>0</v>
      </c>
      <c r="J29">
        <v>0.4</v>
      </c>
      <c r="K29">
        <f t="shared" si="1"/>
        <v>15248.800000000001</v>
      </c>
      <c r="L29" t="s">
        <v>37</v>
      </c>
      <c r="M29" t="s">
        <v>38</v>
      </c>
      <c r="N29">
        <f t="shared" si="2"/>
        <v>4535.6030720000008</v>
      </c>
      <c r="O29">
        <f t="shared" si="3"/>
        <v>0.10368004110468834</v>
      </c>
      <c r="P29" t="s">
        <v>39</v>
      </c>
      <c r="Q29">
        <f t="shared" si="4"/>
        <v>0.58994806148680556</v>
      </c>
      <c r="R29">
        <f t="shared" si="5"/>
        <v>22490</v>
      </c>
      <c r="S29">
        <f t="shared" si="6"/>
        <v>22490</v>
      </c>
      <c r="T29">
        <v>22490</v>
      </c>
      <c r="U29">
        <f t="shared" si="7"/>
        <v>0</v>
      </c>
      <c r="V29">
        <v>1</v>
      </c>
      <c r="W29">
        <v>0.22500000000000001</v>
      </c>
      <c r="X29">
        <f t="shared" si="8"/>
        <v>5060.25</v>
      </c>
      <c r="Y29">
        <f t="shared" si="9"/>
        <v>5060.25</v>
      </c>
      <c r="Z29">
        <f t="shared" si="10"/>
        <v>0</v>
      </c>
      <c r="AB29" t="s">
        <v>40</v>
      </c>
    </row>
    <row r="30" spans="1:28" x14ac:dyDescent="0.25">
      <c r="A30" t="s">
        <v>34</v>
      </c>
      <c r="D30" t="s">
        <v>65</v>
      </c>
      <c r="E30" t="s">
        <v>36</v>
      </c>
      <c r="F30">
        <v>70965</v>
      </c>
      <c r="G30">
        <v>70965</v>
      </c>
      <c r="H30">
        <v>1</v>
      </c>
      <c r="I30">
        <f t="shared" si="0"/>
        <v>0</v>
      </c>
      <c r="J30">
        <v>0.4</v>
      </c>
      <c r="K30">
        <f t="shared" si="1"/>
        <v>28386</v>
      </c>
      <c r="L30" t="s">
        <v>37</v>
      </c>
      <c r="M30" t="s">
        <v>38</v>
      </c>
      <c r="N30">
        <f t="shared" si="2"/>
        <v>8443.1318400000018</v>
      </c>
      <c r="O30">
        <f t="shared" si="3"/>
        <v>9.7087815206929551E-2</v>
      </c>
      <c r="P30" t="s">
        <v>39</v>
      </c>
      <c r="Q30">
        <f t="shared" si="4"/>
        <v>0.58564080884943281</v>
      </c>
      <c r="R30">
        <f t="shared" si="5"/>
        <v>41560</v>
      </c>
      <c r="S30">
        <f t="shared" si="6"/>
        <v>41560</v>
      </c>
      <c r="T30">
        <v>41560</v>
      </c>
      <c r="U30">
        <f t="shared" si="7"/>
        <v>0</v>
      </c>
      <c r="V30">
        <v>1</v>
      </c>
      <c r="W30">
        <v>0.22500000000000001</v>
      </c>
      <c r="X30">
        <f t="shared" si="8"/>
        <v>9351</v>
      </c>
      <c r="Y30">
        <f t="shared" si="9"/>
        <v>9351</v>
      </c>
      <c r="Z30">
        <f t="shared" si="10"/>
        <v>0</v>
      </c>
      <c r="AB30" t="s">
        <v>40</v>
      </c>
    </row>
    <row r="31" spans="1:28" x14ac:dyDescent="0.25">
      <c r="A31" t="s">
        <v>34</v>
      </c>
      <c r="D31" t="s">
        <v>66</v>
      </c>
      <c r="E31" t="s">
        <v>36</v>
      </c>
      <c r="F31">
        <v>38122</v>
      </c>
      <c r="G31">
        <v>38122</v>
      </c>
      <c r="H31">
        <v>1</v>
      </c>
      <c r="I31">
        <f t="shared" si="0"/>
        <v>0</v>
      </c>
      <c r="J31">
        <v>0.4</v>
      </c>
      <c r="K31">
        <f t="shared" si="1"/>
        <v>15248.800000000001</v>
      </c>
      <c r="L31" t="s">
        <v>37</v>
      </c>
      <c r="M31" t="s">
        <v>38</v>
      </c>
      <c r="N31">
        <f t="shared" si="2"/>
        <v>4535.6030720000008</v>
      </c>
      <c r="O31">
        <f t="shared" si="3"/>
        <v>0.10368004110468834</v>
      </c>
      <c r="P31" t="s">
        <v>39</v>
      </c>
      <c r="Q31">
        <f t="shared" si="4"/>
        <v>0.58994806148680556</v>
      </c>
      <c r="R31">
        <f t="shared" si="5"/>
        <v>22490</v>
      </c>
      <c r="S31">
        <f t="shared" si="6"/>
        <v>22490</v>
      </c>
      <c r="T31">
        <v>22490</v>
      </c>
      <c r="U31">
        <f t="shared" si="7"/>
        <v>0</v>
      </c>
      <c r="V31">
        <v>1</v>
      </c>
      <c r="W31">
        <v>0.22500000000000001</v>
      </c>
      <c r="X31">
        <f t="shared" si="8"/>
        <v>5060.25</v>
      </c>
      <c r="Y31">
        <f t="shared" si="9"/>
        <v>5060.25</v>
      </c>
      <c r="Z31">
        <f t="shared" si="10"/>
        <v>0</v>
      </c>
      <c r="AB31" t="s">
        <v>40</v>
      </c>
    </row>
    <row r="32" spans="1:28" x14ac:dyDescent="0.25">
      <c r="A32" t="s">
        <v>34</v>
      </c>
      <c r="D32" t="s">
        <v>67</v>
      </c>
      <c r="E32" t="s">
        <v>36</v>
      </c>
      <c r="F32">
        <v>70965</v>
      </c>
      <c r="G32">
        <v>70965</v>
      </c>
      <c r="H32">
        <v>1</v>
      </c>
      <c r="I32">
        <f t="shared" si="0"/>
        <v>0</v>
      </c>
      <c r="J32">
        <v>0.4</v>
      </c>
      <c r="K32">
        <f t="shared" si="1"/>
        <v>28386</v>
      </c>
      <c r="L32" t="s">
        <v>37</v>
      </c>
      <c r="M32" t="s">
        <v>38</v>
      </c>
      <c r="N32">
        <f t="shared" si="2"/>
        <v>8443.1318400000018</v>
      </c>
      <c r="O32">
        <f t="shared" si="3"/>
        <v>9.7087815206929551E-2</v>
      </c>
      <c r="P32" t="s">
        <v>39</v>
      </c>
      <c r="Q32">
        <f t="shared" si="4"/>
        <v>0.58564080884943281</v>
      </c>
      <c r="R32">
        <f t="shared" si="5"/>
        <v>41560</v>
      </c>
      <c r="S32">
        <f t="shared" si="6"/>
        <v>41560</v>
      </c>
      <c r="T32">
        <v>41560</v>
      </c>
      <c r="U32">
        <f t="shared" si="7"/>
        <v>0</v>
      </c>
      <c r="V32">
        <v>1</v>
      </c>
      <c r="W32">
        <v>0.22500000000000001</v>
      </c>
      <c r="X32">
        <f t="shared" si="8"/>
        <v>9351</v>
      </c>
      <c r="Y32">
        <f t="shared" si="9"/>
        <v>9351</v>
      </c>
      <c r="Z32">
        <f t="shared" si="10"/>
        <v>0</v>
      </c>
      <c r="AB32" t="s">
        <v>40</v>
      </c>
    </row>
    <row r="33" spans="1:28" x14ac:dyDescent="0.25">
      <c r="A33" t="s">
        <v>34</v>
      </c>
      <c r="D33" t="s">
        <v>68</v>
      </c>
      <c r="E33" t="s">
        <v>36</v>
      </c>
      <c r="F33">
        <v>38122</v>
      </c>
      <c r="G33">
        <v>38122</v>
      </c>
      <c r="H33">
        <v>1</v>
      </c>
      <c r="I33">
        <f t="shared" si="0"/>
        <v>0</v>
      </c>
      <c r="J33">
        <v>0.4</v>
      </c>
      <c r="K33">
        <f t="shared" si="1"/>
        <v>15248.800000000001</v>
      </c>
      <c r="L33" t="s">
        <v>37</v>
      </c>
      <c r="M33" t="s">
        <v>38</v>
      </c>
      <c r="N33">
        <f t="shared" si="2"/>
        <v>4535.6030720000008</v>
      </c>
      <c r="O33">
        <f t="shared" si="3"/>
        <v>0.10368004110468834</v>
      </c>
      <c r="P33" t="s">
        <v>39</v>
      </c>
      <c r="Q33">
        <f t="shared" si="4"/>
        <v>0.58994806148680556</v>
      </c>
      <c r="R33">
        <f t="shared" si="5"/>
        <v>22490</v>
      </c>
      <c r="S33">
        <f t="shared" si="6"/>
        <v>22490</v>
      </c>
      <c r="T33">
        <v>22490</v>
      </c>
      <c r="U33">
        <f t="shared" si="7"/>
        <v>0</v>
      </c>
      <c r="V33">
        <v>1</v>
      </c>
      <c r="W33">
        <v>0.22500000000000001</v>
      </c>
      <c r="X33">
        <f t="shared" si="8"/>
        <v>5060.25</v>
      </c>
      <c r="Y33">
        <f t="shared" si="9"/>
        <v>5060.25</v>
      </c>
      <c r="Z33">
        <f t="shared" si="10"/>
        <v>0</v>
      </c>
      <c r="AB33" t="s">
        <v>40</v>
      </c>
    </row>
    <row r="34" spans="1:28" x14ac:dyDescent="0.25">
      <c r="A34" t="s">
        <v>34</v>
      </c>
      <c r="D34" t="s">
        <v>69</v>
      </c>
      <c r="E34" t="s">
        <v>36</v>
      </c>
      <c r="F34">
        <v>70965</v>
      </c>
      <c r="G34">
        <v>70965</v>
      </c>
      <c r="H34">
        <v>1</v>
      </c>
      <c r="I34">
        <f t="shared" si="0"/>
        <v>0</v>
      </c>
      <c r="J34">
        <v>0.4</v>
      </c>
      <c r="K34">
        <f t="shared" si="1"/>
        <v>28386</v>
      </c>
      <c r="L34" t="s">
        <v>37</v>
      </c>
      <c r="M34" t="s">
        <v>38</v>
      </c>
      <c r="N34">
        <f t="shared" si="2"/>
        <v>8443.1318400000018</v>
      </c>
      <c r="O34">
        <f t="shared" si="3"/>
        <v>9.7087815206929551E-2</v>
      </c>
      <c r="P34" t="s">
        <v>39</v>
      </c>
      <c r="Q34">
        <f t="shared" si="4"/>
        <v>0.58564080884943281</v>
      </c>
      <c r="R34">
        <f t="shared" si="5"/>
        <v>41560</v>
      </c>
      <c r="S34">
        <f t="shared" si="6"/>
        <v>41560</v>
      </c>
      <c r="T34">
        <v>41560</v>
      </c>
      <c r="U34">
        <f t="shared" si="7"/>
        <v>0</v>
      </c>
      <c r="V34">
        <v>1</v>
      </c>
      <c r="W34">
        <v>0.22500000000000001</v>
      </c>
      <c r="X34">
        <f t="shared" si="8"/>
        <v>9351</v>
      </c>
      <c r="Y34">
        <f t="shared" si="9"/>
        <v>9351</v>
      </c>
      <c r="Z34">
        <f t="shared" si="10"/>
        <v>0</v>
      </c>
      <c r="AB34" t="s">
        <v>40</v>
      </c>
    </row>
    <row r="35" spans="1:28" x14ac:dyDescent="0.25">
      <c r="A35" t="s">
        <v>34</v>
      </c>
      <c r="D35" t="s">
        <v>70</v>
      </c>
      <c r="E35" t="s">
        <v>36</v>
      </c>
      <c r="F35">
        <v>38122</v>
      </c>
      <c r="G35">
        <v>38122</v>
      </c>
      <c r="H35">
        <v>1</v>
      </c>
      <c r="I35">
        <f t="shared" si="0"/>
        <v>0</v>
      </c>
      <c r="J35">
        <v>0.4</v>
      </c>
      <c r="K35">
        <f t="shared" si="1"/>
        <v>15248.800000000001</v>
      </c>
      <c r="L35" t="s">
        <v>37</v>
      </c>
      <c r="M35" t="s">
        <v>38</v>
      </c>
      <c r="N35">
        <f t="shared" si="2"/>
        <v>4535.6030720000008</v>
      </c>
      <c r="O35">
        <f t="shared" si="3"/>
        <v>0.10368004110468834</v>
      </c>
      <c r="P35" t="s">
        <v>39</v>
      </c>
      <c r="Q35">
        <f t="shared" si="4"/>
        <v>0.58994806148680556</v>
      </c>
      <c r="R35">
        <f t="shared" si="5"/>
        <v>22490</v>
      </c>
      <c r="S35">
        <f t="shared" si="6"/>
        <v>22490</v>
      </c>
      <c r="T35">
        <v>22490</v>
      </c>
      <c r="U35">
        <f t="shared" si="7"/>
        <v>0</v>
      </c>
      <c r="V35">
        <v>1</v>
      </c>
      <c r="W35">
        <v>0.22500000000000001</v>
      </c>
      <c r="X35">
        <f t="shared" si="8"/>
        <v>5060.25</v>
      </c>
      <c r="Y35">
        <f t="shared" si="9"/>
        <v>5060.25</v>
      </c>
      <c r="Z35">
        <f t="shared" si="10"/>
        <v>0</v>
      </c>
      <c r="AB35" t="s">
        <v>40</v>
      </c>
    </row>
    <row r="36" spans="1:28" x14ac:dyDescent="0.25">
      <c r="A36" t="s">
        <v>34</v>
      </c>
      <c r="D36" t="s">
        <v>71</v>
      </c>
      <c r="E36" t="s">
        <v>36</v>
      </c>
      <c r="F36">
        <v>70965</v>
      </c>
      <c r="G36">
        <v>70965</v>
      </c>
      <c r="H36">
        <v>1</v>
      </c>
      <c r="I36">
        <f t="shared" si="0"/>
        <v>0</v>
      </c>
      <c r="J36">
        <v>0.4</v>
      </c>
      <c r="K36">
        <f t="shared" si="1"/>
        <v>28386</v>
      </c>
      <c r="L36" t="s">
        <v>37</v>
      </c>
      <c r="M36" t="s">
        <v>38</v>
      </c>
      <c r="N36">
        <f t="shared" si="2"/>
        <v>8443.1318400000018</v>
      </c>
      <c r="O36">
        <f t="shared" si="3"/>
        <v>9.7087815206929551E-2</v>
      </c>
      <c r="P36" t="s">
        <v>39</v>
      </c>
      <c r="Q36">
        <f t="shared" si="4"/>
        <v>0.58564080884943281</v>
      </c>
      <c r="R36">
        <f t="shared" si="5"/>
        <v>41560</v>
      </c>
      <c r="S36">
        <f t="shared" si="6"/>
        <v>41560</v>
      </c>
      <c r="T36">
        <v>41560</v>
      </c>
      <c r="U36">
        <f t="shared" si="7"/>
        <v>0</v>
      </c>
      <c r="V36">
        <v>1</v>
      </c>
      <c r="W36">
        <v>0.22500000000000001</v>
      </c>
      <c r="X36">
        <f t="shared" si="8"/>
        <v>9351</v>
      </c>
      <c r="Y36">
        <f t="shared" si="9"/>
        <v>9351</v>
      </c>
      <c r="Z36">
        <f t="shared" si="10"/>
        <v>0</v>
      </c>
      <c r="AB36" t="s">
        <v>40</v>
      </c>
    </row>
    <row r="37" spans="1:28" x14ac:dyDescent="0.25">
      <c r="A37" t="s">
        <v>34</v>
      </c>
      <c r="D37" t="s">
        <v>72</v>
      </c>
      <c r="E37" t="s">
        <v>36</v>
      </c>
      <c r="F37">
        <v>39233</v>
      </c>
      <c r="G37">
        <v>39233</v>
      </c>
      <c r="H37">
        <v>1</v>
      </c>
      <c r="I37">
        <f t="shared" si="0"/>
        <v>0</v>
      </c>
      <c r="J37">
        <v>0.4</v>
      </c>
      <c r="K37">
        <f t="shared" si="1"/>
        <v>15693.2</v>
      </c>
      <c r="L37" t="s">
        <v>37</v>
      </c>
      <c r="M37" t="s">
        <v>38</v>
      </c>
      <c r="N37">
        <f t="shared" si="2"/>
        <v>4667.7854080000006</v>
      </c>
      <c r="O37">
        <f t="shared" si="3"/>
        <v>9.5258921742501043E-2</v>
      </c>
      <c r="P37" t="s">
        <v>39</v>
      </c>
      <c r="Q37">
        <f t="shared" si="4"/>
        <v>0.58445696225116606</v>
      </c>
      <c r="R37">
        <f t="shared" si="5"/>
        <v>22929.999999999996</v>
      </c>
      <c r="S37">
        <f t="shared" si="6"/>
        <v>22929.999999999996</v>
      </c>
      <c r="T37">
        <v>22930</v>
      </c>
      <c r="U37">
        <f t="shared" si="7"/>
        <v>1.5865585726522955E-16</v>
      </c>
      <c r="V37">
        <v>1</v>
      </c>
      <c r="W37">
        <v>0.22500000000000001</v>
      </c>
      <c r="X37">
        <f t="shared" si="8"/>
        <v>5159.2499999999991</v>
      </c>
      <c r="Y37">
        <f t="shared" si="9"/>
        <v>5159.2499999999991</v>
      </c>
      <c r="Z37">
        <f t="shared" si="10"/>
        <v>0</v>
      </c>
      <c r="AB37" t="s">
        <v>40</v>
      </c>
    </row>
    <row r="38" spans="1:28" x14ac:dyDescent="0.25">
      <c r="A38" t="s">
        <v>34</v>
      </c>
      <c r="D38" t="s">
        <v>73</v>
      </c>
      <c r="E38" t="s">
        <v>36</v>
      </c>
      <c r="F38">
        <v>71706</v>
      </c>
      <c r="G38">
        <v>71706</v>
      </c>
      <c r="H38">
        <v>1</v>
      </c>
      <c r="I38">
        <f t="shared" si="0"/>
        <v>0</v>
      </c>
      <c r="J38">
        <v>0.4</v>
      </c>
      <c r="K38">
        <f t="shared" si="1"/>
        <v>28682.400000000001</v>
      </c>
      <c r="L38" t="s">
        <v>37</v>
      </c>
      <c r="M38" t="s">
        <v>38</v>
      </c>
      <c r="N38">
        <f t="shared" si="2"/>
        <v>8531.2930560000023</v>
      </c>
      <c r="O38">
        <f t="shared" si="3"/>
        <v>9.8933982256020042E-2</v>
      </c>
      <c r="P38" t="s">
        <v>39</v>
      </c>
      <c r="Q38">
        <f t="shared" si="4"/>
        <v>0.58684071067971999</v>
      </c>
      <c r="R38">
        <f t="shared" si="5"/>
        <v>42080</v>
      </c>
      <c r="S38">
        <f t="shared" si="6"/>
        <v>42080</v>
      </c>
      <c r="T38">
        <v>42080</v>
      </c>
      <c r="U38">
        <f t="shared" si="7"/>
        <v>0</v>
      </c>
      <c r="V38">
        <v>1</v>
      </c>
      <c r="W38">
        <v>0.22500000000000001</v>
      </c>
      <c r="X38">
        <f t="shared" si="8"/>
        <v>9468</v>
      </c>
      <c r="Y38">
        <f t="shared" si="9"/>
        <v>9468</v>
      </c>
      <c r="Z38">
        <f t="shared" si="10"/>
        <v>0</v>
      </c>
      <c r="AB38" t="s">
        <v>40</v>
      </c>
    </row>
    <row r="39" spans="1:28" x14ac:dyDescent="0.25">
      <c r="A39" t="s">
        <v>34</v>
      </c>
      <c r="D39" t="s">
        <v>74</v>
      </c>
      <c r="E39" t="s">
        <v>36</v>
      </c>
      <c r="F39">
        <v>42011</v>
      </c>
      <c r="G39">
        <v>42011</v>
      </c>
      <c r="H39">
        <v>1</v>
      </c>
      <c r="I39">
        <f t="shared" si="0"/>
        <v>0</v>
      </c>
      <c r="J39">
        <v>0.4</v>
      </c>
      <c r="K39">
        <f t="shared" si="1"/>
        <v>16804.400000000001</v>
      </c>
      <c r="L39" t="s">
        <v>37</v>
      </c>
      <c r="M39" t="s">
        <v>38</v>
      </c>
      <c r="N39">
        <f t="shared" si="2"/>
        <v>4998.3007360000011</v>
      </c>
      <c r="O39">
        <f t="shared" si="3"/>
        <v>0.10280008328845776</v>
      </c>
      <c r="P39" t="s">
        <v>39</v>
      </c>
      <c r="Q39">
        <f t="shared" si="4"/>
        <v>0.58936945085810855</v>
      </c>
      <c r="R39">
        <f t="shared" si="5"/>
        <v>24759.999999999996</v>
      </c>
      <c r="S39">
        <f t="shared" si="6"/>
        <v>24759.999999999996</v>
      </c>
      <c r="T39">
        <v>24760</v>
      </c>
      <c r="U39">
        <f t="shared" si="7"/>
        <v>1.4692967718464111E-16</v>
      </c>
      <c r="V39">
        <v>1</v>
      </c>
      <c r="W39">
        <v>0.22500000000000001</v>
      </c>
      <c r="X39">
        <f t="shared" si="8"/>
        <v>5570.9999999999991</v>
      </c>
      <c r="Y39">
        <f t="shared" si="9"/>
        <v>5570.9999999999991</v>
      </c>
      <c r="Z39">
        <f t="shared" si="10"/>
        <v>0</v>
      </c>
      <c r="AB39" t="s">
        <v>40</v>
      </c>
    </row>
    <row r="40" spans="1:28" x14ac:dyDescent="0.25">
      <c r="A40" t="s">
        <v>34</v>
      </c>
      <c r="D40" t="s">
        <v>75</v>
      </c>
      <c r="E40" t="s">
        <v>36</v>
      </c>
      <c r="F40">
        <v>76150</v>
      </c>
      <c r="G40">
        <v>76150</v>
      </c>
      <c r="H40">
        <v>1</v>
      </c>
      <c r="I40">
        <f t="shared" si="0"/>
        <v>0</v>
      </c>
      <c r="J40">
        <v>0.4</v>
      </c>
      <c r="K40">
        <f t="shared" si="1"/>
        <v>30460</v>
      </c>
      <c r="L40" t="s">
        <v>37</v>
      </c>
      <c r="M40" t="s">
        <v>38</v>
      </c>
      <c r="N40">
        <f t="shared" si="2"/>
        <v>9060.0224000000017</v>
      </c>
      <c r="O40">
        <f t="shared" si="3"/>
        <v>9.8168729625481982E-2</v>
      </c>
      <c r="P40" t="s">
        <v>39</v>
      </c>
      <c r="Q40">
        <f t="shared" si="4"/>
        <v>0.58634274458305979</v>
      </c>
      <c r="R40">
        <f t="shared" si="5"/>
        <v>44650</v>
      </c>
      <c r="S40">
        <f t="shared" si="6"/>
        <v>44650</v>
      </c>
      <c r="T40">
        <v>44650</v>
      </c>
      <c r="U40">
        <f t="shared" si="7"/>
        <v>0</v>
      </c>
      <c r="V40">
        <v>1</v>
      </c>
      <c r="W40">
        <v>0.22500000000000001</v>
      </c>
      <c r="X40">
        <f t="shared" si="8"/>
        <v>10046.25</v>
      </c>
      <c r="Y40">
        <f t="shared" si="9"/>
        <v>10046.25</v>
      </c>
      <c r="Z40">
        <f t="shared" si="10"/>
        <v>0</v>
      </c>
      <c r="AB40" t="s">
        <v>40</v>
      </c>
    </row>
    <row r="41" spans="1:28" x14ac:dyDescent="0.25">
      <c r="A41" t="s">
        <v>34</v>
      </c>
      <c r="D41" t="s">
        <v>76</v>
      </c>
      <c r="E41" t="s">
        <v>36</v>
      </c>
      <c r="F41">
        <v>42011</v>
      </c>
      <c r="G41">
        <v>42011</v>
      </c>
      <c r="H41">
        <v>1</v>
      </c>
      <c r="I41">
        <f t="shared" si="0"/>
        <v>0</v>
      </c>
      <c r="J41">
        <v>0.4</v>
      </c>
      <c r="K41">
        <f t="shared" si="1"/>
        <v>16804.400000000001</v>
      </c>
      <c r="L41" t="s">
        <v>37</v>
      </c>
      <c r="M41" t="s">
        <v>38</v>
      </c>
      <c r="N41">
        <f t="shared" si="2"/>
        <v>4998.3007360000011</v>
      </c>
      <c r="O41">
        <f t="shared" si="3"/>
        <v>0.10280008328845776</v>
      </c>
      <c r="P41" t="s">
        <v>39</v>
      </c>
      <c r="Q41">
        <f t="shared" si="4"/>
        <v>0.58936945085810855</v>
      </c>
      <c r="R41">
        <f t="shared" si="5"/>
        <v>24759.999999999996</v>
      </c>
      <c r="S41">
        <f t="shared" si="6"/>
        <v>24759.999999999996</v>
      </c>
      <c r="T41">
        <v>24760</v>
      </c>
      <c r="U41">
        <f t="shared" si="7"/>
        <v>1.4692967718464111E-16</v>
      </c>
      <c r="V41">
        <v>1</v>
      </c>
      <c r="W41">
        <v>0.22500000000000001</v>
      </c>
      <c r="X41">
        <f t="shared" si="8"/>
        <v>5570.9999999999991</v>
      </c>
      <c r="Y41">
        <f t="shared" si="9"/>
        <v>5570.9999999999991</v>
      </c>
      <c r="Z41">
        <f t="shared" si="10"/>
        <v>0</v>
      </c>
      <c r="AB41" t="s">
        <v>40</v>
      </c>
    </row>
    <row r="42" spans="1:28" x14ac:dyDescent="0.25">
      <c r="A42" t="s">
        <v>34</v>
      </c>
      <c r="D42" t="s">
        <v>77</v>
      </c>
      <c r="E42" t="s">
        <v>36</v>
      </c>
      <c r="F42">
        <v>76150</v>
      </c>
      <c r="G42">
        <v>76150</v>
      </c>
      <c r="H42">
        <v>1</v>
      </c>
      <c r="I42">
        <f t="shared" si="0"/>
        <v>0</v>
      </c>
      <c r="J42">
        <v>0.4</v>
      </c>
      <c r="K42">
        <f t="shared" si="1"/>
        <v>30460</v>
      </c>
      <c r="L42" t="s">
        <v>37</v>
      </c>
      <c r="M42" t="s">
        <v>38</v>
      </c>
      <c r="N42">
        <f t="shared" si="2"/>
        <v>9060.0224000000017</v>
      </c>
      <c r="O42">
        <f t="shared" si="3"/>
        <v>9.8168729625481982E-2</v>
      </c>
      <c r="P42" t="s">
        <v>39</v>
      </c>
      <c r="Q42">
        <f t="shared" si="4"/>
        <v>0.58634274458305979</v>
      </c>
      <c r="R42">
        <f t="shared" si="5"/>
        <v>44650</v>
      </c>
      <c r="S42">
        <f t="shared" si="6"/>
        <v>44650</v>
      </c>
      <c r="T42">
        <v>44650</v>
      </c>
      <c r="U42">
        <f t="shared" si="7"/>
        <v>0</v>
      </c>
      <c r="V42">
        <v>1</v>
      </c>
      <c r="W42">
        <v>0.22500000000000001</v>
      </c>
      <c r="X42">
        <f t="shared" si="8"/>
        <v>10046.25</v>
      </c>
      <c r="Y42">
        <f t="shared" si="9"/>
        <v>10046.25</v>
      </c>
      <c r="Z42">
        <f t="shared" si="10"/>
        <v>0</v>
      </c>
      <c r="AB42" t="s">
        <v>40</v>
      </c>
    </row>
    <row r="43" spans="1:28" x14ac:dyDescent="0.25">
      <c r="A43" t="s">
        <v>34</v>
      </c>
      <c r="D43" t="s">
        <v>78</v>
      </c>
      <c r="E43" t="s">
        <v>36</v>
      </c>
      <c r="F43">
        <v>49604</v>
      </c>
      <c r="G43">
        <v>49604</v>
      </c>
      <c r="H43">
        <v>1</v>
      </c>
      <c r="I43">
        <f t="shared" si="0"/>
        <v>0</v>
      </c>
      <c r="J43">
        <v>0.4</v>
      </c>
      <c r="K43">
        <f t="shared" si="1"/>
        <v>19841.600000000002</v>
      </c>
      <c r="L43" t="s">
        <v>37</v>
      </c>
      <c r="M43" t="s">
        <v>38</v>
      </c>
      <c r="N43">
        <f t="shared" si="2"/>
        <v>5901.6855040000019</v>
      </c>
      <c r="O43">
        <f t="shared" si="3"/>
        <v>9.8944920951181056E-2</v>
      </c>
      <c r="P43" t="s">
        <v>39</v>
      </c>
      <c r="Q43">
        <f t="shared" si="4"/>
        <v>0.58684783485202807</v>
      </c>
      <c r="R43">
        <f t="shared" si="5"/>
        <v>29110</v>
      </c>
      <c r="S43">
        <f t="shared" si="6"/>
        <v>29110</v>
      </c>
      <c r="T43">
        <v>29110</v>
      </c>
      <c r="U43">
        <f t="shared" si="7"/>
        <v>0</v>
      </c>
      <c r="V43">
        <v>1</v>
      </c>
      <c r="W43">
        <v>0.22500000000000001</v>
      </c>
      <c r="X43">
        <f t="shared" si="8"/>
        <v>6549.75</v>
      </c>
      <c r="Y43">
        <f t="shared" si="9"/>
        <v>6549.75</v>
      </c>
      <c r="Z43">
        <f t="shared" si="10"/>
        <v>0</v>
      </c>
      <c r="AB43" t="s">
        <v>40</v>
      </c>
    </row>
    <row r="44" spans="1:28" x14ac:dyDescent="0.25">
      <c r="A44" t="s">
        <v>34</v>
      </c>
      <c r="D44" t="s">
        <v>79</v>
      </c>
      <c r="E44" t="s">
        <v>36</v>
      </c>
      <c r="F44">
        <v>83743</v>
      </c>
      <c r="G44">
        <v>83743</v>
      </c>
      <c r="H44">
        <v>1</v>
      </c>
      <c r="I44">
        <f t="shared" si="0"/>
        <v>0</v>
      </c>
      <c r="J44">
        <v>0.4</v>
      </c>
      <c r="K44">
        <f t="shared" si="1"/>
        <v>33497.200000000004</v>
      </c>
      <c r="L44" t="s">
        <v>37</v>
      </c>
      <c r="M44" t="s">
        <v>38</v>
      </c>
      <c r="N44">
        <f t="shared" si="2"/>
        <v>9963.4071680000034</v>
      </c>
      <c r="O44">
        <f t="shared" si="3"/>
        <v>9.8864272780716925E-2</v>
      </c>
      <c r="P44" t="s">
        <v>39</v>
      </c>
      <c r="Q44">
        <f t="shared" si="4"/>
        <v>0.58679531423521969</v>
      </c>
      <c r="R44">
        <f t="shared" si="5"/>
        <v>49140</v>
      </c>
      <c r="S44">
        <f t="shared" si="6"/>
        <v>49140</v>
      </c>
      <c r="T44">
        <v>49140</v>
      </c>
      <c r="U44">
        <f t="shared" si="7"/>
        <v>0</v>
      </c>
      <c r="V44">
        <v>1</v>
      </c>
      <c r="W44">
        <v>0.22500000000000001</v>
      </c>
      <c r="X44">
        <f t="shared" si="8"/>
        <v>11056.5</v>
      </c>
      <c r="Y44">
        <f t="shared" si="9"/>
        <v>11056.5</v>
      </c>
      <c r="Z44">
        <f t="shared" si="10"/>
        <v>0</v>
      </c>
      <c r="AB44" t="s">
        <v>40</v>
      </c>
    </row>
    <row r="45" spans="1:28" x14ac:dyDescent="0.25">
      <c r="A45" t="s">
        <v>34</v>
      </c>
      <c r="D45" t="s">
        <v>80</v>
      </c>
      <c r="E45" t="s">
        <v>36</v>
      </c>
      <c r="F45">
        <v>49604</v>
      </c>
      <c r="G45">
        <v>49604</v>
      </c>
      <c r="H45">
        <v>1</v>
      </c>
      <c r="I45">
        <f t="shared" si="0"/>
        <v>0</v>
      </c>
      <c r="J45">
        <v>0.4</v>
      </c>
      <c r="K45">
        <f t="shared" si="1"/>
        <v>19841.600000000002</v>
      </c>
      <c r="L45" t="s">
        <v>37</v>
      </c>
      <c r="M45" t="s">
        <v>38</v>
      </c>
      <c r="N45">
        <f t="shared" si="2"/>
        <v>5901.6855040000019</v>
      </c>
      <c r="O45">
        <f t="shared" si="3"/>
        <v>9.8944920951181056E-2</v>
      </c>
      <c r="P45" t="s">
        <v>39</v>
      </c>
      <c r="Q45">
        <f t="shared" si="4"/>
        <v>0.58684783485202807</v>
      </c>
      <c r="R45">
        <f t="shared" si="5"/>
        <v>29110</v>
      </c>
      <c r="S45">
        <f t="shared" si="6"/>
        <v>29110</v>
      </c>
      <c r="T45">
        <v>29110</v>
      </c>
      <c r="U45">
        <f t="shared" si="7"/>
        <v>0</v>
      </c>
      <c r="V45">
        <v>1</v>
      </c>
      <c r="W45">
        <v>0.22500000000000001</v>
      </c>
      <c r="X45">
        <f t="shared" si="8"/>
        <v>6549.75</v>
      </c>
      <c r="Y45">
        <f t="shared" si="9"/>
        <v>6549.75</v>
      </c>
      <c r="Z45">
        <f t="shared" si="10"/>
        <v>0</v>
      </c>
      <c r="AB45" t="s">
        <v>40</v>
      </c>
    </row>
    <row r="46" spans="1:28" x14ac:dyDescent="0.25">
      <c r="A46" t="s">
        <v>34</v>
      </c>
      <c r="D46" t="s">
        <v>81</v>
      </c>
      <c r="E46" t="s">
        <v>36</v>
      </c>
      <c r="F46">
        <v>83743</v>
      </c>
      <c r="G46">
        <v>83743</v>
      </c>
      <c r="H46">
        <v>1</v>
      </c>
      <c r="I46">
        <f t="shared" si="0"/>
        <v>0</v>
      </c>
      <c r="J46">
        <v>0.4</v>
      </c>
      <c r="K46">
        <f t="shared" si="1"/>
        <v>33497.200000000004</v>
      </c>
      <c r="L46" t="s">
        <v>37</v>
      </c>
      <c r="M46" t="s">
        <v>38</v>
      </c>
      <c r="N46">
        <f t="shared" si="2"/>
        <v>9963.4071680000034</v>
      </c>
      <c r="O46">
        <f t="shared" si="3"/>
        <v>9.8864272780716925E-2</v>
      </c>
      <c r="P46" t="s">
        <v>39</v>
      </c>
      <c r="Q46">
        <f t="shared" si="4"/>
        <v>0.58679531423521969</v>
      </c>
      <c r="R46">
        <f t="shared" si="5"/>
        <v>49140</v>
      </c>
      <c r="S46">
        <f t="shared" si="6"/>
        <v>49140</v>
      </c>
      <c r="T46">
        <v>49140</v>
      </c>
      <c r="U46">
        <f t="shared" si="7"/>
        <v>0</v>
      </c>
      <c r="V46">
        <v>1</v>
      </c>
      <c r="W46">
        <v>0.22500000000000001</v>
      </c>
      <c r="X46">
        <f t="shared" si="8"/>
        <v>11056.5</v>
      </c>
      <c r="Y46">
        <f t="shared" si="9"/>
        <v>11056.5</v>
      </c>
      <c r="Z46">
        <f t="shared" si="10"/>
        <v>0</v>
      </c>
      <c r="AB46" t="s">
        <v>40</v>
      </c>
    </row>
    <row r="47" spans="1:28" x14ac:dyDescent="0.25">
      <c r="A47" t="s">
        <v>34</v>
      </c>
      <c r="D47" t="s">
        <v>82</v>
      </c>
      <c r="E47" t="s">
        <v>36</v>
      </c>
      <c r="F47">
        <v>51826</v>
      </c>
      <c r="G47">
        <v>51826</v>
      </c>
      <c r="H47">
        <v>1</v>
      </c>
      <c r="I47">
        <f t="shared" si="0"/>
        <v>0</v>
      </c>
      <c r="J47">
        <v>0.4</v>
      </c>
      <c r="K47">
        <f t="shared" si="1"/>
        <v>20730.400000000001</v>
      </c>
      <c r="L47" t="s">
        <v>37</v>
      </c>
      <c r="M47" t="s">
        <v>38</v>
      </c>
      <c r="N47">
        <f t="shared" si="2"/>
        <v>6166.0501760000016</v>
      </c>
      <c r="O47">
        <f t="shared" si="3"/>
        <v>9.9419406871873284E-2</v>
      </c>
      <c r="P47" t="s">
        <v>39</v>
      </c>
      <c r="Q47">
        <f t="shared" si="4"/>
        <v>0.5871570254312507</v>
      </c>
      <c r="R47">
        <f t="shared" si="5"/>
        <v>30430</v>
      </c>
      <c r="S47">
        <f t="shared" si="6"/>
        <v>30430</v>
      </c>
      <c r="T47">
        <v>30430</v>
      </c>
      <c r="U47">
        <f t="shared" si="7"/>
        <v>0</v>
      </c>
      <c r="V47">
        <v>1</v>
      </c>
      <c r="W47">
        <v>0.22500000000000001</v>
      </c>
      <c r="X47">
        <f t="shared" si="8"/>
        <v>6846.75</v>
      </c>
      <c r="Y47">
        <f t="shared" si="9"/>
        <v>6846.75</v>
      </c>
      <c r="Z47">
        <f t="shared" si="10"/>
        <v>0</v>
      </c>
      <c r="AB47" t="s">
        <v>40</v>
      </c>
    </row>
    <row r="48" spans="1:28" x14ac:dyDescent="0.25">
      <c r="A48" t="s">
        <v>34</v>
      </c>
      <c r="D48" t="s">
        <v>83</v>
      </c>
      <c r="E48" t="s">
        <v>36</v>
      </c>
      <c r="F48">
        <v>85965</v>
      </c>
      <c r="G48">
        <v>85965</v>
      </c>
      <c r="H48">
        <v>1</v>
      </c>
      <c r="I48">
        <f t="shared" si="0"/>
        <v>0</v>
      </c>
      <c r="J48">
        <v>0.4</v>
      </c>
      <c r="K48">
        <f t="shared" si="1"/>
        <v>34386</v>
      </c>
      <c r="L48" t="s">
        <v>37</v>
      </c>
      <c r="M48" t="s">
        <v>38</v>
      </c>
      <c r="N48">
        <f t="shared" si="2"/>
        <v>10227.771840000001</v>
      </c>
      <c r="O48">
        <f t="shared" si="3"/>
        <v>9.7901096778461219E-2</v>
      </c>
      <c r="P48" t="s">
        <v>39</v>
      </c>
      <c r="Q48">
        <f t="shared" si="4"/>
        <v>0.58616878962368402</v>
      </c>
      <c r="R48">
        <f t="shared" si="5"/>
        <v>50390</v>
      </c>
      <c r="S48">
        <f t="shared" si="6"/>
        <v>50390</v>
      </c>
      <c r="T48">
        <v>50390</v>
      </c>
      <c r="U48">
        <f t="shared" si="7"/>
        <v>0</v>
      </c>
      <c r="V48">
        <v>1</v>
      </c>
      <c r="W48">
        <v>0.22500000000000001</v>
      </c>
      <c r="X48">
        <f t="shared" si="8"/>
        <v>11337.75</v>
      </c>
      <c r="Y48">
        <f t="shared" si="9"/>
        <v>11337.75</v>
      </c>
      <c r="Z48">
        <f t="shared" si="10"/>
        <v>0</v>
      </c>
      <c r="AB48" t="s">
        <v>40</v>
      </c>
    </row>
    <row r="49" spans="1:28" x14ac:dyDescent="0.25">
      <c r="A49" t="s">
        <v>34</v>
      </c>
      <c r="D49" t="s">
        <v>84</v>
      </c>
      <c r="E49" t="s">
        <v>36</v>
      </c>
      <c r="F49">
        <v>53567</v>
      </c>
      <c r="G49">
        <v>53567</v>
      </c>
      <c r="H49">
        <v>1</v>
      </c>
      <c r="I49">
        <f t="shared" si="0"/>
        <v>0</v>
      </c>
      <c r="J49">
        <v>0.4</v>
      </c>
      <c r="K49">
        <f t="shared" si="1"/>
        <v>21426.800000000003</v>
      </c>
      <c r="L49" t="s">
        <v>37</v>
      </c>
      <c r="M49" t="s">
        <v>38</v>
      </c>
      <c r="N49">
        <f t="shared" si="2"/>
        <v>6373.1873920000025</v>
      </c>
      <c r="O49">
        <f t="shared" si="3"/>
        <v>0.10192526005777459</v>
      </c>
      <c r="P49" t="s">
        <v>39</v>
      </c>
      <c r="Q49">
        <f t="shared" si="4"/>
        <v>0.58879534041480763</v>
      </c>
      <c r="R49">
        <f t="shared" si="5"/>
        <v>31540</v>
      </c>
      <c r="S49">
        <f t="shared" si="6"/>
        <v>31540</v>
      </c>
      <c r="T49">
        <v>31540</v>
      </c>
      <c r="U49">
        <f t="shared" si="7"/>
        <v>0</v>
      </c>
      <c r="V49">
        <v>1</v>
      </c>
      <c r="W49">
        <v>0.22500000000000001</v>
      </c>
      <c r="X49">
        <f t="shared" si="8"/>
        <v>7096.5</v>
      </c>
      <c r="Y49">
        <f t="shared" si="9"/>
        <v>7096.5</v>
      </c>
      <c r="Z49">
        <f t="shared" si="10"/>
        <v>0</v>
      </c>
      <c r="AB49" t="s">
        <v>40</v>
      </c>
    </row>
    <row r="50" spans="1:28" x14ac:dyDescent="0.25">
      <c r="A50" t="s">
        <v>34</v>
      </c>
      <c r="D50" t="s">
        <v>85</v>
      </c>
      <c r="E50" t="s">
        <v>36</v>
      </c>
      <c r="F50">
        <v>89928</v>
      </c>
      <c r="G50">
        <v>89928</v>
      </c>
      <c r="H50">
        <v>1</v>
      </c>
      <c r="I50">
        <f t="shared" si="0"/>
        <v>0</v>
      </c>
      <c r="J50">
        <v>0.4</v>
      </c>
      <c r="K50">
        <f t="shared" si="1"/>
        <v>35971.200000000004</v>
      </c>
      <c r="L50" t="s">
        <v>37</v>
      </c>
      <c r="M50" t="s">
        <v>38</v>
      </c>
      <c r="N50">
        <f t="shared" si="2"/>
        <v>10699.273728000004</v>
      </c>
      <c r="O50">
        <f t="shared" si="3"/>
        <v>9.9899154268407786E-2</v>
      </c>
      <c r="P50" t="s">
        <v>39</v>
      </c>
      <c r="Q50">
        <f t="shared" si="4"/>
        <v>0.58746997598078465</v>
      </c>
      <c r="R50">
        <f t="shared" si="5"/>
        <v>52830</v>
      </c>
      <c r="S50">
        <f t="shared" si="6"/>
        <v>52830</v>
      </c>
      <c r="T50">
        <v>52830</v>
      </c>
      <c r="U50">
        <f t="shared" si="7"/>
        <v>0</v>
      </c>
      <c r="V50">
        <v>1</v>
      </c>
      <c r="W50">
        <v>0.22500000000000001</v>
      </c>
      <c r="X50">
        <f t="shared" si="8"/>
        <v>11886.75</v>
      </c>
      <c r="Y50">
        <f t="shared" si="9"/>
        <v>11886.75</v>
      </c>
      <c r="Z50">
        <f t="shared" si="10"/>
        <v>0</v>
      </c>
      <c r="AB50" t="s">
        <v>40</v>
      </c>
    </row>
    <row r="51" spans="1:28" x14ac:dyDescent="0.25">
      <c r="A51" t="s">
        <v>34</v>
      </c>
      <c r="D51" t="s">
        <v>86</v>
      </c>
      <c r="E51" t="s">
        <v>36</v>
      </c>
      <c r="F51">
        <v>53567</v>
      </c>
      <c r="G51">
        <v>53567</v>
      </c>
      <c r="H51">
        <v>1</v>
      </c>
      <c r="I51">
        <f t="shared" si="0"/>
        <v>0</v>
      </c>
      <c r="J51">
        <v>0.4</v>
      </c>
      <c r="K51">
        <f t="shared" si="1"/>
        <v>21426.800000000003</v>
      </c>
      <c r="L51" t="s">
        <v>37</v>
      </c>
      <c r="M51" t="s">
        <v>38</v>
      </c>
      <c r="N51">
        <f t="shared" si="2"/>
        <v>6373.1873920000025</v>
      </c>
      <c r="O51">
        <f t="shared" si="3"/>
        <v>0.10192526005777459</v>
      </c>
      <c r="P51" t="s">
        <v>39</v>
      </c>
      <c r="Q51">
        <f t="shared" si="4"/>
        <v>0.58879534041480763</v>
      </c>
      <c r="R51">
        <f t="shared" si="5"/>
        <v>31540</v>
      </c>
      <c r="S51">
        <f t="shared" si="6"/>
        <v>31540</v>
      </c>
      <c r="T51">
        <v>31540</v>
      </c>
      <c r="U51">
        <f t="shared" si="7"/>
        <v>0</v>
      </c>
      <c r="V51">
        <v>1</v>
      </c>
      <c r="W51">
        <v>0.22500000000000001</v>
      </c>
      <c r="X51">
        <f t="shared" si="8"/>
        <v>7096.5</v>
      </c>
      <c r="Y51">
        <f t="shared" si="9"/>
        <v>7096.5</v>
      </c>
      <c r="Z51">
        <f t="shared" si="10"/>
        <v>0</v>
      </c>
      <c r="AB51" t="s">
        <v>40</v>
      </c>
    </row>
    <row r="52" spans="1:28" x14ac:dyDescent="0.25">
      <c r="A52" t="s">
        <v>34</v>
      </c>
      <c r="D52" t="s">
        <v>87</v>
      </c>
      <c r="E52" t="s">
        <v>36</v>
      </c>
      <c r="F52">
        <v>89928</v>
      </c>
      <c r="G52">
        <v>89928</v>
      </c>
      <c r="H52">
        <v>1</v>
      </c>
      <c r="I52">
        <f t="shared" si="0"/>
        <v>0</v>
      </c>
      <c r="J52">
        <v>0.4</v>
      </c>
      <c r="K52">
        <f t="shared" si="1"/>
        <v>35971.200000000004</v>
      </c>
      <c r="L52" t="s">
        <v>37</v>
      </c>
      <c r="M52" t="s">
        <v>38</v>
      </c>
      <c r="N52">
        <f t="shared" si="2"/>
        <v>10699.273728000004</v>
      </c>
      <c r="O52">
        <f t="shared" si="3"/>
        <v>9.9899154268407786E-2</v>
      </c>
      <c r="P52" t="s">
        <v>39</v>
      </c>
      <c r="Q52">
        <f t="shared" si="4"/>
        <v>0.58746997598078465</v>
      </c>
      <c r="R52">
        <f t="shared" si="5"/>
        <v>52830</v>
      </c>
      <c r="S52">
        <f t="shared" si="6"/>
        <v>52830</v>
      </c>
      <c r="T52">
        <v>52830</v>
      </c>
      <c r="U52">
        <f t="shared" si="7"/>
        <v>0</v>
      </c>
      <c r="V52">
        <v>1</v>
      </c>
      <c r="W52">
        <v>0.22500000000000001</v>
      </c>
      <c r="X52">
        <f t="shared" si="8"/>
        <v>11886.75</v>
      </c>
      <c r="Y52">
        <f t="shared" si="9"/>
        <v>11886.75</v>
      </c>
      <c r="Z52">
        <f t="shared" si="10"/>
        <v>0</v>
      </c>
      <c r="AB52" t="s">
        <v>40</v>
      </c>
    </row>
    <row r="53" spans="1:28" x14ac:dyDescent="0.25">
      <c r="A53" t="s">
        <v>34</v>
      </c>
      <c r="D53" t="s">
        <v>88</v>
      </c>
      <c r="E53" t="s">
        <v>36</v>
      </c>
      <c r="F53">
        <v>53567</v>
      </c>
      <c r="G53">
        <v>53567</v>
      </c>
      <c r="H53">
        <v>1</v>
      </c>
      <c r="I53">
        <f t="shared" si="0"/>
        <v>0</v>
      </c>
      <c r="J53">
        <v>0.4</v>
      </c>
      <c r="K53">
        <f t="shared" si="1"/>
        <v>21426.800000000003</v>
      </c>
      <c r="L53" t="s">
        <v>37</v>
      </c>
      <c r="M53" t="s">
        <v>38</v>
      </c>
      <c r="N53">
        <f t="shared" si="2"/>
        <v>6373.1873920000025</v>
      </c>
      <c r="O53">
        <f t="shared" si="3"/>
        <v>0.10192526005777459</v>
      </c>
      <c r="P53" t="s">
        <v>39</v>
      </c>
      <c r="Q53">
        <f t="shared" si="4"/>
        <v>0.58879534041480763</v>
      </c>
      <c r="R53">
        <f t="shared" si="5"/>
        <v>31540</v>
      </c>
      <c r="S53">
        <f t="shared" si="6"/>
        <v>31540</v>
      </c>
      <c r="T53">
        <v>31540</v>
      </c>
      <c r="U53">
        <f t="shared" si="7"/>
        <v>0</v>
      </c>
      <c r="V53">
        <v>1</v>
      </c>
      <c r="W53">
        <v>0.22500000000000001</v>
      </c>
      <c r="X53">
        <f t="shared" si="8"/>
        <v>7096.5</v>
      </c>
      <c r="Y53">
        <f t="shared" si="9"/>
        <v>7096.5</v>
      </c>
      <c r="Z53">
        <f t="shared" si="10"/>
        <v>0</v>
      </c>
      <c r="AB53" t="s">
        <v>40</v>
      </c>
    </row>
    <row r="54" spans="1:28" x14ac:dyDescent="0.25">
      <c r="A54" t="s">
        <v>34</v>
      </c>
      <c r="D54" t="s">
        <v>89</v>
      </c>
      <c r="E54" t="s">
        <v>36</v>
      </c>
      <c r="F54">
        <v>89928</v>
      </c>
      <c r="G54">
        <v>89928</v>
      </c>
      <c r="H54">
        <v>1</v>
      </c>
      <c r="I54">
        <f t="shared" si="0"/>
        <v>0</v>
      </c>
      <c r="J54">
        <v>0.4</v>
      </c>
      <c r="K54">
        <f t="shared" si="1"/>
        <v>35971.200000000004</v>
      </c>
      <c r="L54" t="s">
        <v>37</v>
      </c>
      <c r="M54" t="s">
        <v>38</v>
      </c>
      <c r="N54">
        <f t="shared" si="2"/>
        <v>10699.273728000004</v>
      </c>
      <c r="O54">
        <f t="shared" si="3"/>
        <v>9.9899154268407786E-2</v>
      </c>
      <c r="P54" t="s">
        <v>39</v>
      </c>
      <c r="Q54">
        <f t="shared" si="4"/>
        <v>0.58746997598078465</v>
      </c>
      <c r="R54">
        <f t="shared" si="5"/>
        <v>52830</v>
      </c>
      <c r="S54">
        <f t="shared" si="6"/>
        <v>52830</v>
      </c>
      <c r="T54">
        <v>52830</v>
      </c>
      <c r="U54">
        <f t="shared" si="7"/>
        <v>0</v>
      </c>
      <c r="V54">
        <v>1</v>
      </c>
      <c r="W54">
        <v>0.22500000000000001</v>
      </c>
      <c r="X54">
        <f t="shared" si="8"/>
        <v>11886.75</v>
      </c>
      <c r="Y54">
        <f t="shared" si="9"/>
        <v>11886.75</v>
      </c>
      <c r="Z54">
        <f t="shared" si="10"/>
        <v>0</v>
      </c>
      <c r="AB54" t="s">
        <v>40</v>
      </c>
    </row>
    <row r="55" spans="1:28" x14ac:dyDescent="0.25">
      <c r="A55" t="s">
        <v>34</v>
      </c>
      <c r="D55" t="s">
        <v>90</v>
      </c>
      <c r="E55" t="s">
        <v>36</v>
      </c>
      <c r="F55">
        <v>53567</v>
      </c>
      <c r="G55">
        <v>53567</v>
      </c>
      <c r="H55">
        <v>1</v>
      </c>
      <c r="I55">
        <f t="shared" si="0"/>
        <v>0</v>
      </c>
      <c r="J55">
        <v>0.4</v>
      </c>
      <c r="K55">
        <f t="shared" si="1"/>
        <v>21426.800000000003</v>
      </c>
      <c r="L55" t="s">
        <v>37</v>
      </c>
      <c r="M55" t="s">
        <v>38</v>
      </c>
      <c r="N55">
        <f t="shared" si="2"/>
        <v>6373.1873920000025</v>
      </c>
      <c r="O55">
        <f t="shared" si="3"/>
        <v>0.10192526005777459</v>
      </c>
      <c r="P55" t="s">
        <v>39</v>
      </c>
      <c r="Q55">
        <f t="shared" si="4"/>
        <v>0.58879534041480763</v>
      </c>
      <c r="R55">
        <f t="shared" si="5"/>
        <v>31540</v>
      </c>
      <c r="S55">
        <f t="shared" si="6"/>
        <v>31540</v>
      </c>
      <c r="T55">
        <v>31540</v>
      </c>
      <c r="U55">
        <f t="shared" si="7"/>
        <v>0</v>
      </c>
      <c r="V55">
        <v>1</v>
      </c>
      <c r="W55">
        <v>0.22500000000000001</v>
      </c>
      <c r="X55">
        <f t="shared" si="8"/>
        <v>7096.5</v>
      </c>
      <c r="Y55">
        <f t="shared" si="9"/>
        <v>7096.5</v>
      </c>
      <c r="Z55">
        <f t="shared" si="10"/>
        <v>0</v>
      </c>
      <c r="AB55" t="s">
        <v>40</v>
      </c>
    </row>
    <row r="56" spans="1:28" x14ac:dyDescent="0.25">
      <c r="A56" t="s">
        <v>34</v>
      </c>
      <c r="D56" t="s">
        <v>91</v>
      </c>
      <c r="E56" t="s">
        <v>36</v>
      </c>
      <c r="F56">
        <v>89928</v>
      </c>
      <c r="G56">
        <v>89928</v>
      </c>
      <c r="H56">
        <v>1</v>
      </c>
      <c r="I56">
        <f t="shared" si="0"/>
        <v>0</v>
      </c>
      <c r="J56">
        <v>0.4</v>
      </c>
      <c r="K56">
        <f t="shared" si="1"/>
        <v>35971.200000000004</v>
      </c>
      <c r="L56" t="s">
        <v>37</v>
      </c>
      <c r="M56" t="s">
        <v>38</v>
      </c>
      <c r="N56">
        <f t="shared" si="2"/>
        <v>10699.273728000004</v>
      </c>
      <c r="O56">
        <f t="shared" si="3"/>
        <v>9.9899154268407786E-2</v>
      </c>
      <c r="P56" t="s">
        <v>39</v>
      </c>
      <c r="Q56">
        <f t="shared" si="4"/>
        <v>0.58746997598078465</v>
      </c>
      <c r="R56">
        <f t="shared" si="5"/>
        <v>52830</v>
      </c>
      <c r="S56">
        <f t="shared" si="6"/>
        <v>52830</v>
      </c>
      <c r="T56">
        <v>52830</v>
      </c>
      <c r="U56">
        <f t="shared" si="7"/>
        <v>0</v>
      </c>
      <c r="V56">
        <v>1</v>
      </c>
      <c r="W56">
        <v>0.22500000000000001</v>
      </c>
      <c r="X56">
        <f t="shared" si="8"/>
        <v>11886.75</v>
      </c>
      <c r="Y56">
        <f t="shared" si="9"/>
        <v>11886.75</v>
      </c>
      <c r="Z56">
        <f t="shared" si="10"/>
        <v>0</v>
      </c>
      <c r="AB56" t="s">
        <v>40</v>
      </c>
    </row>
    <row r="57" spans="1:28" x14ac:dyDescent="0.25">
      <c r="A57" t="s">
        <v>34</v>
      </c>
      <c r="D57" t="s">
        <v>92</v>
      </c>
      <c r="E57" t="s">
        <v>36</v>
      </c>
      <c r="F57">
        <v>53567</v>
      </c>
      <c r="G57">
        <v>53567</v>
      </c>
      <c r="H57">
        <v>1</v>
      </c>
      <c r="I57">
        <f t="shared" si="0"/>
        <v>0</v>
      </c>
      <c r="J57">
        <v>0.4</v>
      </c>
      <c r="K57">
        <f t="shared" si="1"/>
        <v>21426.800000000003</v>
      </c>
      <c r="L57" t="s">
        <v>37</v>
      </c>
      <c r="M57" t="s">
        <v>38</v>
      </c>
      <c r="N57">
        <f t="shared" si="2"/>
        <v>6373.1873920000025</v>
      </c>
      <c r="O57">
        <f t="shared" si="3"/>
        <v>0.10192526005777459</v>
      </c>
      <c r="P57" t="s">
        <v>39</v>
      </c>
      <c r="Q57">
        <f t="shared" si="4"/>
        <v>0.58879534041480763</v>
      </c>
      <c r="R57">
        <f t="shared" si="5"/>
        <v>31540</v>
      </c>
      <c r="S57">
        <f t="shared" si="6"/>
        <v>31540</v>
      </c>
      <c r="T57">
        <v>31540</v>
      </c>
      <c r="U57">
        <f t="shared" si="7"/>
        <v>0</v>
      </c>
      <c r="V57">
        <v>1</v>
      </c>
      <c r="W57">
        <v>0.22500000000000001</v>
      </c>
      <c r="X57">
        <f t="shared" si="8"/>
        <v>7096.5</v>
      </c>
      <c r="Y57">
        <f t="shared" si="9"/>
        <v>7096.5</v>
      </c>
      <c r="Z57">
        <f t="shared" si="10"/>
        <v>0</v>
      </c>
      <c r="AB57" t="s">
        <v>40</v>
      </c>
    </row>
    <row r="58" spans="1:28" x14ac:dyDescent="0.25">
      <c r="A58" t="s">
        <v>34</v>
      </c>
      <c r="D58" t="s">
        <v>93</v>
      </c>
      <c r="E58" t="s">
        <v>36</v>
      </c>
      <c r="F58">
        <v>89928</v>
      </c>
      <c r="G58">
        <v>89928</v>
      </c>
      <c r="H58">
        <v>1</v>
      </c>
      <c r="I58">
        <f t="shared" si="0"/>
        <v>0</v>
      </c>
      <c r="J58">
        <v>0.4</v>
      </c>
      <c r="K58">
        <f t="shared" si="1"/>
        <v>35971.200000000004</v>
      </c>
      <c r="L58" t="s">
        <v>37</v>
      </c>
      <c r="M58" t="s">
        <v>38</v>
      </c>
      <c r="N58">
        <f t="shared" si="2"/>
        <v>10699.273728000004</v>
      </c>
      <c r="O58">
        <f t="shared" si="3"/>
        <v>9.9899154268407786E-2</v>
      </c>
      <c r="P58" t="s">
        <v>39</v>
      </c>
      <c r="Q58">
        <f t="shared" si="4"/>
        <v>0.58746997598078465</v>
      </c>
      <c r="R58">
        <f t="shared" si="5"/>
        <v>52830</v>
      </c>
      <c r="S58">
        <f t="shared" si="6"/>
        <v>52830</v>
      </c>
      <c r="T58">
        <v>52830</v>
      </c>
      <c r="U58">
        <f t="shared" si="7"/>
        <v>0</v>
      </c>
      <c r="V58">
        <v>1</v>
      </c>
      <c r="W58">
        <v>0.22500000000000001</v>
      </c>
      <c r="X58">
        <f t="shared" si="8"/>
        <v>11886.75</v>
      </c>
      <c r="Y58">
        <f t="shared" si="9"/>
        <v>11886.75</v>
      </c>
      <c r="Z58">
        <f t="shared" si="10"/>
        <v>0</v>
      </c>
      <c r="AB58" t="s">
        <v>40</v>
      </c>
    </row>
    <row r="59" spans="1:28" x14ac:dyDescent="0.25">
      <c r="A59" t="s">
        <v>34</v>
      </c>
      <c r="D59" t="s">
        <v>94</v>
      </c>
      <c r="E59" t="s">
        <v>36</v>
      </c>
      <c r="F59">
        <v>59863</v>
      </c>
      <c r="G59">
        <v>59863</v>
      </c>
      <c r="H59">
        <v>1</v>
      </c>
      <c r="I59">
        <f t="shared" si="0"/>
        <v>0</v>
      </c>
      <c r="J59">
        <v>0.4</v>
      </c>
      <c r="K59">
        <f t="shared" si="1"/>
        <v>23945.200000000001</v>
      </c>
      <c r="L59" t="s">
        <v>37</v>
      </c>
      <c r="M59" t="s">
        <v>38</v>
      </c>
      <c r="N59">
        <f t="shared" si="2"/>
        <v>7122.2602880000013</v>
      </c>
      <c r="O59">
        <f t="shared" si="3"/>
        <v>9.7391212749104797E-2</v>
      </c>
      <c r="P59" t="s">
        <v>39</v>
      </c>
      <c r="Q59">
        <f t="shared" si="4"/>
        <v>0.58583766266308068</v>
      </c>
      <c r="R59">
        <f t="shared" si="5"/>
        <v>35070</v>
      </c>
      <c r="S59">
        <f t="shared" si="6"/>
        <v>35070</v>
      </c>
      <c r="T59">
        <v>35070</v>
      </c>
      <c r="U59">
        <f t="shared" si="7"/>
        <v>0</v>
      </c>
      <c r="V59">
        <v>1</v>
      </c>
      <c r="W59">
        <v>0.22500000000000001</v>
      </c>
      <c r="X59">
        <f t="shared" si="8"/>
        <v>7890.75</v>
      </c>
      <c r="Y59">
        <f t="shared" si="9"/>
        <v>7890.75</v>
      </c>
      <c r="Z59">
        <f t="shared" si="10"/>
        <v>0</v>
      </c>
      <c r="AB59" t="s">
        <v>40</v>
      </c>
    </row>
    <row r="60" spans="1:28" x14ac:dyDescent="0.25">
      <c r="A60" t="s">
        <v>34</v>
      </c>
      <c r="D60" t="s">
        <v>95</v>
      </c>
      <c r="E60" t="s">
        <v>36</v>
      </c>
      <c r="F60">
        <v>95854</v>
      </c>
      <c r="G60">
        <v>95854</v>
      </c>
      <c r="H60">
        <v>1</v>
      </c>
      <c r="I60">
        <f t="shared" si="0"/>
        <v>0</v>
      </c>
      <c r="J60">
        <v>0.4</v>
      </c>
      <c r="K60">
        <f t="shared" si="1"/>
        <v>38341.599999999999</v>
      </c>
      <c r="L60" t="s">
        <v>37</v>
      </c>
      <c r="M60" t="s">
        <v>38</v>
      </c>
      <c r="N60">
        <f t="shared" si="2"/>
        <v>11404.325504000002</v>
      </c>
      <c r="O60">
        <f t="shared" si="3"/>
        <v>9.7312713644008925E-2</v>
      </c>
      <c r="P60" t="s">
        <v>39</v>
      </c>
      <c r="Q60">
        <f t="shared" si="4"/>
        <v>0.58578671729922593</v>
      </c>
      <c r="R60">
        <f t="shared" si="5"/>
        <v>56150</v>
      </c>
      <c r="S60">
        <f t="shared" si="6"/>
        <v>56150</v>
      </c>
      <c r="T60">
        <v>56150</v>
      </c>
      <c r="U60">
        <f t="shared" si="7"/>
        <v>0</v>
      </c>
      <c r="V60">
        <v>1</v>
      </c>
      <c r="W60">
        <v>0.22500000000000001</v>
      </c>
      <c r="X60">
        <f t="shared" si="8"/>
        <v>12633.75</v>
      </c>
      <c r="Y60">
        <f t="shared" si="9"/>
        <v>12633.75</v>
      </c>
      <c r="Z60">
        <f t="shared" si="10"/>
        <v>0</v>
      </c>
      <c r="AB60" t="s">
        <v>40</v>
      </c>
    </row>
    <row r="61" spans="1:28" x14ac:dyDescent="0.25">
      <c r="A61" t="s">
        <v>34</v>
      </c>
      <c r="D61" t="s">
        <v>96</v>
      </c>
      <c r="E61" t="s">
        <v>36</v>
      </c>
      <c r="F61">
        <v>65049</v>
      </c>
      <c r="G61">
        <v>65049</v>
      </c>
      <c r="H61">
        <v>1</v>
      </c>
      <c r="I61">
        <f t="shared" si="0"/>
        <v>0</v>
      </c>
      <c r="J61">
        <v>0.4</v>
      </c>
      <c r="K61">
        <f t="shared" si="1"/>
        <v>26019.600000000002</v>
      </c>
      <c r="L61" t="s">
        <v>37</v>
      </c>
      <c r="M61" t="s">
        <v>38</v>
      </c>
      <c r="N61">
        <f t="shared" si="2"/>
        <v>7739.2698240000018</v>
      </c>
      <c r="O61">
        <f t="shared" si="3"/>
        <v>9.719803744531913E-2</v>
      </c>
      <c r="P61" t="s">
        <v>39</v>
      </c>
      <c r="Q61">
        <f t="shared" si="4"/>
        <v>0.58571230918230877</v>
      </c>
      <c r="R61">
        <f t="shared" si="5"/>
        <v>38100</v>
      </c>
      <c r="S61">
        <f t="shared" si="6"/>
        <v>38100</v>
      </c>
      <c r="T61">
        <v>38100</v>
      </c>
      <c r="U61">
        <f t="shared" si="7"/>
        <v>0</v>
      </c>
      <c r="V61">
        <v>1</v>
      </c>
      <c r="W61">
        <v>0.22500000000000001</v>
      </c>
      <c r="X61">
        <f t="shared" si="8"/>
        <v>8572.5</v>
      </c>
      <c r="Y61">
        <f t="shared" si="9"/>
        <v>8572.5</v>
      </c>
      <c r="Z61">
        <f t="shared" si="10"/>
        <v>0</v>
      </c>
      <c r="AB61" t="s">
        <v>40</v>
      </c>
    </row>
    <row r="62" spans="1:28" x14ac:dyDescent="0.25">
      <c r="A62" t="s">
        <v>34</v>
      </c>
      <c r="D62" t="s">
        <v>97</v>
      </c>
      <c r="E62" t="s">
        <v>36</v>
      </c>
      <c r="F62">
        <v>99928</v>
      </c>
      <c r="G62">
        <v>99928</v>
      </c>
      <c r="H62">
        <v>1</v>
      </c>
      <c r="I62">
        <f t="shared" si="0"/>
        <v>0</v>
      </c>
      <c r="J62">
        <v>0.4</v>
      </c>
      <c r="K62">
        <f t="shared" si="1"/>
        <v>39971.200000000004</v>
      </c>
      <c r="L62" t="s">
        <v>37</v>
      </c>
      <c r="M62" t="s">
        <v>38</v>
      </c>
      <c r="N62">
        <f t="shared" si="2"/>
        <v>11889.033728000004</v>
      </c>
      <c r="O62">
        <f t="shared" si="3"/>
        <v>0.10013368695125625</v>
      </c>
      <c r="P62" t="s">
        <v>39</v>
      </c>
      <c r="Q62">
        <f t="shared" si="4"/>
        <v>0.58762308862380919</v>
      </c>
      <c r="R62">
        <f t="shared" si="5"/>
        <v>58720.000000000007</v>
      </c>
      <c r="S62">
        <f t="shared" si="6"/>
        <v>58720.000000000007</v>
      </c>
      <c r="T62">
        <v>58720</v>
      </c>
      <c r="U62">
        <f t="shared" si="7"/>
        <v>-1.2390935991456786E-16</v>
      </c>
      <c r="V62">
        <v>1</v>
      </c>
      <c r="W62">
        <v>0.22500000000000001</v>
      </c>
      <c r="X62">
        <f t="shared" si="8"/>
        <v>13212.000000000002</v>
      </c>
      <c r="Y62">
        <f t="shared" si="9"/>
        <v>13212.000000000002</v>
      </c>
      <c r="Z62">
        <f t="shared" si="10"/>
        <v>0</v>
      </c>
      <c r="AB62" t="s">
        <v>40</v>
      </c>
    </row>
    <row r="63" spans="1:28" x14ac:dyDescent="0.25">
      <c r="A63" t="s">
        <v>34</v>
      </c>
      <c r="D63" t="s">
        <v>98</v>
      </c>
      <c r="E63" t="s">
        <v>36</v>
      </c>
      <c r="F63">
        <v>65049</v>
      </c>
      <c r="G63">
        <v>65049</v>
      </c>
      <c r="H63">
        <v>1</v>
      </c>
      <c r="I63">
        <f t="shared" si="0"/>
        <v>0</v>
      </c>
      <c r="J63">
        <v>0.4</v>
      </c>
      <c r="K63">
        <f t="shared" si="1"/>
        <v>26019.600000000002</v>
      </c>
      <c r="L63" t="s">
        <v>37</v>
      </c>
      <c r="M63" t="s">
        <v>38</v>
      </c>
      <c r="N63">
        <f t="shared" si="2"/>
        <v>7739.2698240000018</v>
      </c>
      <c r="O63">
        <f t="shared" si="3"/>
        <v>9.719803744531913E-2</v>
      </c>
      <c r="P63" t="s">
        <v>39</v>
      </c>
      <c r="Q63">
        <f t="shared" si="4"/>
        <v>0.58571230918230877</v>
      </c>
      <c r="R63">
        <f t="shared" si="5"/>
        <v>38100</v>
      </c>
      <c r="S63">
        <f t="shared" si="6"/>
        <v>38100</v>
      </c>
      <c r="T63">
        <v>38100</v>
      </c>
      <c r="U63">
        <f t="shared" si="7"/>
        <v>0</v>
      </c>
      <c r="V63">
        <v>1</v>
      </c>
      <c r="W63">
        <v>0.22500000000000001</v>
      </c>
      <c r="X63">
        <f t="shared" si="8"/>
        <v>8572.5</v>
      </c>
      <c r="Y63">
        <f t="shared" si="9"/>
        <v>8572.5</v>
      </c>
      <c r="Z63">
        <f t="shared" si="10"/>
        <v>0</v>
      </c>
      <c r="AB63" t="s">
        <v>40</v>
      </c>
    </row>
    <row r="64" spans="1:28" x14ac:dyDescent="0.25">
      <c r="A64" t="s">
        <v>34</v>
      </c>
      <c r="D64" t="s">
        <v>99</v>
      </c>
      <c r="E64" t="s">
        <v>36</v>
      </c>
      <c r="F64">
        <v>99928</v>
      </c>
      <c r="G64">
        <v>99928</v>
      </c>
      <c r="H64">
        <v>1</v>
      </c>
      <c r="I64">
        <f t="shared" si="0"/>
        <v>0</v>
      </c>
      <c r="J64">
        <v>0.4</v>
      </c>
      <c r="K64">
        <f t="shared" si="1"/>
        <v>39971.200000000004</v>
      </c>
      <c r="L64" t="s">
        <v>37</v>
      </c>
      <c r="M64" t="s">
        <v>38</v>
      </c>
      <c r="N64">
        <f t="shared" si="2"/>
        <v>11889.033728000004</v>
      </c>
      <c r="O64">
        <f t="shared" si="3"/>
        <v>0.10013368695125625</v>
      </c>
      <c r="P64" t="s">
        <v>39</v>
      </c>
      <c r="Q64">
        <f t="shared" si="4"/>
        <v>0.58762308862380919</v>
      </c>
      <c r="R64">
        <f t="shared" si="5"/>
        <v>58720.000000000007</v>
      </c>
      <c r="S64">
        <f t="shared" si="6"/>
        <v>58720.000000000007</v>
      </c>
      <c r="T64">
        <v>58720</v>
      </c>
      <c r="U64">
        <f t="shared" si="7"/>
        <v>-1.2390935991456786E-16</v>
      </c>
      <c r="V64">
        <v>1</v>
      </c>
      <c r="W64">
        <v>0.22500000000000001</v>
      </c>
      <c r="X64">
        <f t="shared" si="8"/>
        <v>13212.000000000002</v>
      </c>
      <c r="Y64">
        <f t="shared" si="9"/>
        <v>13212.000000000002</v>
      </c>
      <c r="Z64">
        <f t="shared" si="10"/>
        <v>0</v>
      </c>
      <c r="AB64" t="s">
        <v>40</v>
      </c>
    </row>
    <row r="65" spans="1:28" x14ac:dyDescent="0.25">
      <c r="A65" t="s">
        <v>34</v>
      </c>
      <c r="D65" t="s">
        <v>100</v>
      </c>
      <c r="E65" t="s">
        <v>36</v>
      </c>
      <c r="F65">
        <v>67086</v>
      </c>
      <c r="G65">
        <v>67086</v>
      </c>
      <c r="H65">
        <v>1</v>
      </c>
      <c r="I65">
        <f t="shared" si="0"/>
        <v>0</v>
      </c>
      <c r="J65">
        <v>0.4</v>
      </c>
      <c r="K65">
        <f t="shared" si="1"/>
        <v>26834.400000000001</v>
      </c>
      <c r="L65" t="s">
        <v>37</v>
      </c>
      <c r="M65" t="s">
        <v>38</v>
      </c>
      <c r="N65">
        <f t="shared" si="2"/>
        <v>7981.6239360000018</v>
      </c>
      <c r="O65">
        <f t="shared" si="3"/>
        <v>9.6667070028011004E-2</v>
      </c>
      <c r="P65" t="s">
        <v>39</v>
      </c>
      <c r="Q65">
        <f t="shared" si="4"/>
        <v>0.58536803505947588</v>
      </c>
      <c r="R65">
        <f t="shared" si="5"/>
        <v>39270</v>
      </c>
      <c r="S65">
        <f t="shared" si="6"/>
        <v>39270</v>
      </c>
      <c r="T65">
        <v>39270</v>
      </c>
      <c r="U65">
        <f t="shared" si="7"/>
        <v>0</v>
      </c>
      <c r="V65">
        <v>1</v>
      </c>
      <c r="W65">
        <v>0.22500000000000001</v>
      </c>
      <c r="X65">
        <f t="shared" si="8"/>
        <v>8835.75</v>
      </c>
      <c r="Y65">
        <f t="shared" si="9"/>
        <v>8835.75</v>
      </c>
      <c r="Z65">
        <f t="shared" si="10"/>
        <v>0</v>
      </c>
      <c r="AB65" t="s">
        <v>40</v>
      </c>
    </row>
    <row r="66" spans="1:28" x14ac:dyDescent="0.25">
      <c r="A66" t="s">
        <v>34</v>
      </c>
      <c r="D66" t="s">
        <v>101</v>
      </c>
      <c r="E66" t="s">
        <v>36</v>
      </c>
      <c r="F66">
        <v>102336</v>
      </c>
      <c r="G66">
        <v>102336</v>
      </c>
      <c r="H66">
        <v>1</v>
      </c>
      <c r="I66">
        <f t="shared" si="0"/>
        <v>0</v>
      </c>
      <c r="J66">
        <v>0.4</v>
      </c>
      <c r="K66">
        <f t="shared" si="1"/>
        <v>40934.400000000001</v>
      </c>
      <c r="L66" t="s">
        <v>37</v>
      </c>
      <c r="M66" t="s">
        <v>38</v>
      </c>
      <c r="N66">
        <f t="shared" si="2"/>
        <v>12175.527936000002</v>
      </c>
      <c r="O66">
        <f t="shared" si="3"/>
        <v>9.7657870713134184E-2</v>
      </c>
      <c r="P66" t="s">
        <v>39</v>
      </c>
      <c r="Q66">
        <f t="shared" si="4"/>
        <v>0.58601078799249529</v>
      </c>
      <c r="R66">
        <f t="shared" si="5"/>
        <v>59970</v>
      </c>
      <c r="S66">
        <f t="shared" si="6"/>
        <v>59970</v>
      </c>
      <c r="T66">
        <v>59970</v>
      </c>
      <c r="U66">
        <f t="shared" si="7"/>
        <v>0</v>
      </c>
      <c r="V66">
        <v>1</v>
      </c>
      <c r="W66">
        <v>0.22500000000000001</v>
      </c>
      <c r="X66">
        <f t="shared" si="8"/>
        <v>13493.25</v>
      </c>
      <c r="Y66">
        <f t="shared" si="9"/>
        <v>13493.25</v>
      </c>
      <c r="Z66">
        <f t="shared" si="10"/>
        <v>0</v>
      </c>
      <c r="AB66" t="s">
        <v>40</v>
      </c>
    </row>
    <row r="67" spans="1:28" x14ac:dyDescent="0.25">
      <c r="A67" t="s">
        <v>34</v>
      </c>
      <c r="D67" t="s">
        <v>102</v>
      </c>
      <c r="E67" t="s">
        <v>36</v>
      </c>
      <c r="F67">
        <v>67086</v>
      </c>
      <c r="G67">
        <v>67086</v>
      </c>
      <c r="H67">
        <v>1</v>
      </c>
      <c r="I67">
        <f t="shared" si="0"/>
        <v>0</v>
      </c>
      <c r="J67">
        <v>0.4</v>
      </c>
      <c r="K67">
        <f t="shared" si="1"/>
        <v>26834.400000000001</v>
      </c>
      <c r="L67" t="s">
        <v>37</v>
      </c>
      <c r="M67" t="s">
        <v>38</v>
      </c>
      <c r="N67">
        <f t="shared" si="2"/>
        <v>7981.6239360000018</v>
      </c>
      <c r="O67">
        <f t="shared" si="3"/>
        <v>9.6667070028011004E-2</v>
      </c>
      <c r="P67" t="s">
        <v>39</v>
      </c>
      <c r="Q67">
        <f t="shared" si="4"/>
        <v>0.58536803505947588</v>
      </c>
      <c r="R67">
        <f t="shared" si="5"/>
        <v>39270</v>
      </c>
      <c r="S67">
        <f t="shared" si="6"/>
        <v>39270</v>
      </c>
      <c r="T67">
        <v>39270</v>
      </c>
      <c r="U67">
        <f t="shared" si="7"/>
        <v>0</v>
      </c>
      <c r="V67">
        <v>1</v>
      </c>
      <c r="W67">
        <v>0.22500000000000001</v>
      </c>
      <c r="X67">
        <f t="shared" si="8"/>
        <v>8835.75</v>
      </c>
      <c r="Y67">
        <f t="shared" si="9"/>
        <v>8835.75</v>
      </c>
      <c r="Z67">
        <f t="shared" si="10"/>
        <v>0</v>
      </c>
      <c r="AB67" t="s">
        <v>40</v>
      </c>
    </row>
    <row r="68" spans="1:28" x14ac:dyDescent="0.25">
      <c r="A68" t="s">
        <v>34</v>
      </c>
      <c r="D68" t="s">
        <v>103</v>
      </c>
      <c r="E68" t="s">
        <v>36</v>
      </c>
      <c r="F68">
        <v>102336</v>
      </c>
      <c r="G68">
        <v>102336</v>
      </c>
      <c r="H68">
        <v>1</v>
      </c>
      <c r="I68">
        <f t="shared" si="0"/>
        <v>0</v>
      </c>
      <c r="J68">
        <v>0.4</v>
      </c>
      <c r="K68">
        <f t="shared" si="1"/>
        <v>40934.400000000001</v>
      </c>
      <c r="L68" t="s">
        <v>37</v>
      </c>
      <c r="M68" t="s">
        <v>38</v>
      </c>
      <c r="N68">
        <f t="shared" si="2"/>
        <v>12175.527936000002</v>
      </c>
      <c r="O68">
        <f t="shared" si="3"/>
        <v>9.7657870713134184E-2</v>
      </c>
      <c r="P68" t="s">
        <v>39</v>
      </c>
      <c r="Q68">
        <f t="shared" si="4"/>
        <v>0.58601078799249529</v>
      </c>
      <c r="R68">
        <f t="shared" si="5"/>
        <v>59970</v>
      </c>
      <c r="S68">
        <f t="shared" si="6"/>
        <v>59970</v>
      </c>
      <c r="T68">
        <v>59970</v>
      </c>
      <c r="U68">
        <f t="shared" si="7"/>
        <v>0</v>
      </c>
      <c r="V68">
        <v>1</v>
      </c>
      <c r="W68">
        <v>0.22500000000000001</v>
      </c>
      <c r="X68">
        <f t="shared" si="8"/>
        <v>13493.25</v>
      </c>
      <c r="Y68">
        <f t="shared" si="9"/>
        <v>13493.25</v>
      </c>
      <c r="Z68">
        <f t="shared" si="10"/>
        <v>0</v>
      </c>
      <c r="AB68" t="s">
        <v>40</v>
      </c>
    </row>
    <row r="69" spans="1:28" x14ac:dyDescent="0.25">
      <c r="A69" t="s">
        <v>34</v>
      </c>
      <c r="D69" t="s">
        <v>104</v>
      </c>
      <c r="E69" t="s">
        <v>36</v>
      </c>
      <c r="F69">
        <v>80049</v>
      </c>
      <c r="G69">
        <v>80049</v>
      </c>
      <c r="H69">
        <v>1</v>
      </c>
      <c r="I69">
        <f t="shared" ref="I69:I132" si="11">(G69-F69)/F69</f>
        <v>0</v>
      </c>
      <c r="J69">
        <v>0.4</v>
      </c>
      <c r="K69">
        <f t="shared" ref="K69:K132" si="12">F69*H69*J69</f>
        <v>32019.600000000002</v>
      </c>
      <c r="L69" t="s">
        <v>37</v>
      </c>
      <c r="M69" t="s">
        <v>38</v>
      </c>
      <c r="N69">
        <f t="shared" ref="N69:N132" si="13">K69*$N$2*$O$2</f>
        <v>9523.9098240000003</v>
      </c>
      <c r="O69">
        <f t="shared" ref="O69:O132" si="14">(X69-N69)/X69</f>
        <v>9.8050541089565998E-2</v>
      </c>
      <c r="P69" t="s">
        <v>39</v>
      </c>
      <c r="Q69">
        <f t="shared" ref="Q69:Q132" si="15">T69/F69</f>
        <v>0.58626591212882107</v>
      </c>
      <c r="R69">
        <f t="shared" ref="R69:R132" si="16">F69*Q69</f>
        <v>46930</v>
      </c>
      <c r="S69">
        <f t="shared" ref="S69:S132" si="17">G69*Q69</f>
        <v>46930</v>
      </c>
      <c r="T69">
        <v>46930</v>
      </c>
      <c r="U69">
        <f t="shared" ref="U69:U132" si="18">(T69-R69)/R69</f>
        <v>0</v>
      </c>
      <c r="V69">
        <v>1</v>
      </c>
      <c r="W69">
        <v>0.22500000000000001</v>
      </c>
      <c r="X69">
        <f t="shared" ref="X69:X132" si="19">R69*V69*W69</f>
        <v>10559.25</v>
      </c>
      <c r="Y69">
        <f t="shared" ref="Y69:Y132" si="20">S69*W69*V69</f>
        <v>10559.25</v>
      </c>
      <c r="Z69">
        <f t="shared" ref="Z69:Z132" si="21">(Y69-X69)/X69</f>
        <v>0</v>
      </c>
      <c r="AB69" t="s">
        <v>40</v>
      </c>
    </row>
    <row r="70" spans="1:28" x14ac:dyDescent="0.25">
      <c r="A70" t="s">
        <v>34</v>
      </c>
      <c r="D70" t="s">
        <v>105</v>
      </c>
      <c r="E70" t="s">
        <v>36</v>
      </c>
      <c r="F70">
        <v>117891</v>
      </c>
      <c r="G70">
        <v>117891</v>
      </c>
      <c r="H70">
        <v>1</v>
      </c>
      <c r="I70">
        <f t="shared" si="11"/>
        <v>0</v>
      </c>
      <c r="J70">
        <v>0.4</v>
      </c>
      <c r="K70">
        <f t="shared" si="12"/>
        <v>47156.4</v>
      </c>
      <c r="L70" t="s">
        <v>37</v>
      </c>
      <c r="M70" t="s">
        <v>38</v>
      </c>
      <c r="N70">
        <f t="shared" si="13"/>
        <v>14026.199616000004</v>
      </c>
      <c r="O70">
        <f t="shared" si="14"/>
        <v>9.797909188250592E-2</v>
      </c>
      <c r="P70" t="s">
        <v>39</v>
      </c>
      <c r="Q70">
        <f t="shared" si="15"/>
        <v>0.58621947392082518</v>
      </c>
      <c r="R70">
        <f t="shared" si="16"/>
        <v>69110</v>
      </c>
      <c r="S70">
        <f t="shared" si="17"/>
        <v>69110</v>
      </c>
      <c r="T70">
        <v>69110</v>
      </c>
      <c r="U70">
        <f t="shared" si="18"/>
        <v>0</v>
      </c>
      <c r="V70">
        <v>1</v>
      </c>
      <c r="W70">
        <v>0.22500000000000001</v>
      </c>
      <c r="X70">
        <f t="shared" si="19"/>
        <v>15549.75</v>
      </c>
      <c r="Y70">
        <f t="shared" si="20"/>
        <v>15549.75</v>
      </c>
      <c r="Z70">
        <f t="shared" si="21"/>
        <v>0</v>
      </c>
      <c r="AB70" t="s">
        <v>40</v>
      </c>
    </row>
    <row r="71" spans="1:28" x14ac:dyDescent="0.25">
      <c r="A71" t="s">
        <v>106</v>
      </c>
      <c r="D71" t="s">
        <v>107</v>
      </c>
      <c r="E71" t="s">
        <v>36</v>
      </c>
      <c r="F71">
        <v>39242</v>
      </c>
      <c r="G71">
        <v>39242</v>
      </c>
      <c r="H71">
        <v>1</v>
      </c>
      <c r="I71">
        <f t="shared" si="11"/>
        <v>0</v>
      </c>
      <c r="J71">
        <v>0.42</v>
      </c>
      <c r="K71">
        <f t="shared" si="12"/>
        <v>16481.64</v>
      </c>
      <c r="L71" t="s">
        <v>37</v>
      </c>
      <c r="M71" t="s">
        <v>38</v>
      </c>
      <c r="N71">
        <f t="shared" si="13"/>
        <v>4902.2990016000012</v>
      </c>
      <c r="O71">
        <f t="shared" si="14"/>
        <v>4.2706697598125121E-2</v>
      </c>
      <c r="P71" t="s">
        <v>39</v>
      </c>
      <c r="Q71">
        <f t="shared" si="15"/>
        <v>0.57999082615564956</v>
      </c>
      <c r="R71">
        <f t="shared" si="16"/>
        <v>22760</v>
      </c>
      <c r="S71">
        <f t="shared" si="17"/>
        <v>22760</v>
      </c>
      <c r="T71">
        <v>22760</v>
      </c>
      <c r="U71">
        <f t="shared" si="18"/>
        <v>0</v>
      </c>
      <c r="V71">
        <v>1</v>
      </c>
      <c r="W71">
        <v>0.22500000000000001</v>
      </c>
      <c r="X71">
        <f t="shared" si="19"/>
        <v>5121</v>
      </c>
      <c r="Y71">
        <f t="shared" si="20"/>
        <v>5121</v>
      </c>
      <c r="Z71">
        <f t="shared" si="21"/>
        <v>0</v>
      </c>
      <c r="AB71" t="s">
        <v>40</v>
      </c>
    </row>
    <row r="72" spans="1:28" x14ac:dyDescent="0.25">
      <c r="A72" t="s">
        <v>106</v>
      </c>
      <c r="D72" t="s">
        <v>108</v>
      </c>
      <c r="E72" t="s">
        <v>36</v>
      </c>
      <c r="F72">
        <v>65838</v>
      </c>
      <c r="G72">
        <v>65838</v>
      </c>
      <c r="H72">
        <v>1</v>
      </c>
      <c r="I72">
        <f t="shared" si="11"/>
        <v>0</v>
      </c>
      <c r="J72">
        <v>0.42</v>
      </c>
      <c r="K72">
        <f t="shared" si="12"/>
        <v>27651.96</v>
      </c>
      <c r="L72" t="s">
        <v>37</v>
      </c>
      <c r="M72" t="s">
        <v>38</v>
      </c>
      <c r="N72">
        <f t="shared" si="13"/>
        <v>8224.7989824000015</v>
      </c>
      <c r="O72">
        <f t="shared" si="14"/>
        <v>3.9299286622864478E-2</v>
      </c>
      <c r="P72" t="s">
        <v>39</v>
      </c>
      <c r="Q72">
        <f t="shared" si="15"/>
        <v>0.5779337160910113</v>
      </c>
      <c r="R72">
        <f t="shared" si="16"/>
        <v>38050</v>
      </c>
      <c r="S72">
        <f t="shared" si="17"/>
        <v>38050</v>
      </c>
      <c r="T72">
        <v>38050</v>
      </c>
      <c r="U72">
        <f t="shared" si="18"/>
        <v>0</v>
      </c>
      <c r="V72">
        <v>1</v>
      </c>
      <c r="W72">
        <v>0.22500000000000001</v>
      </c>
      <c r="X72">
        <f t="shared" si="19"/>
        <v>8561.25</v>
      </c>
      <c r="Y72">
        <f t="shared" si="20"/>
        <v>8561.25</v>
      </c>
      <c r="Z72">
        <f t="shared" si="21"/>
        <v>0</v>
      </c>
      <c r="AB72" t="s">
        <v>40</v>
      </c>
    </row>
    <row r="73" spans="1:28" x14ac:dyDescent="0.25">
      <c r="A73" t="s">
        <v>106</v>
      </c>
      <c r="D73" t="s">
        <v>109</v>
      </c>
      <c r="E73" t="s">
        <v>36</v>
      </c>
      <c r="F73">
        <v>37895</v>
      </c>
      <c r="G73">
        <v>37895</v>
      </c>
      <c r="H73">
        <v>1</v>
      </c>
      <c r="I73">
        <f t="shared" si="11"/>
        <v>0</v>
      </c>
      <c r="J73">
        <v>0.42</v>
      </c>
      <c r="K73">
        <f t="shared" si="12"/>
        <v>15915.9</v>
      </c>
      <c r="L73" t="s">
        <v>37</v>
      </c>
      <c r="M73" t="s">
        <v>38</v>
      </c>
      <c r="N73">
        <f t="shared" si="13"/>
        <v>4734.0252959999998</v>
      </c>
      <c r="O73">
        <f t="shared" si="14"/>
        <v>3.88253802345059E-2</v>
      </c>
      <c r="P73" t="s">
        <v>39</v>
      </c>
      <c r="Q73">
        <f t="shared" si="15"/>
        <v>0.57764876632801165</v>
      </c>
      <c r="R73">
        <f t="shared" si="16"/>
        <v>21890</v>
      </c>
      <c r="S73">
        <f t="shared" si="17"/>
        <v>21890</v>
      </c>
      <c r="T73">
        <v>21890</v>
      </c>
      <c r="U73">
        <f t="shared" si="18"/>
        <v>0</v>
      </c>
      <c r="V73">
        <v>1</v>
      </c>
      <c r="W73">
        <v>0.22500000000000001</v>
      </c>
      <c r="X73">
        <f t="shared" si="19"/>
        <v>4925.25</v>
      </c>
      <c r="Y73">
        <f t="shared" si="20"/>
        <v>4925.25</v>
      </c>
      <c r="Z73">
        <f t="shared" si="21"/>
        <v>0</v>
      </c>
      <c r="AB73" t="s">
        <v>40</v>
      </c>
    </row>
    <row r="74" spans="1:28" x14ac:dyDescent="0.25">
      <c r="A74" t="s">
        <v>106</v>
      </c>
      <c r="D74" t="s">
        <v>110</v>
      </c>
      <c r="E74" t="s">
        <v>36</v>
      </c>
      <c r="F74">
        <v>64299</v>
      </c>
      <c r="G74">
        <v>64299</v>
      </c>
      <c r="H74">
        <v>1</v>
      </c>
      <c r="I74">
        <f t="shared" si="11"/>
        <v>0</v>
      </c>
      <c r="J74">
        <v>0.42</v>
      </c>
      <c r="K74">
        <f t="shared" si="12"/>
        <v>27005.579999999998</v>
      </c>
      <c r="L74" t="s">
        <v>37</v>
      </c>
      <c r="M74" t="s">
        <v>38</v>
      </c>
      <c r="N74">
        <f t="shared" si="13"/>
        <v>8032.5397152000014</v>
      </c>
      <c r="O74">
        <f t="shared" si="14"/>
        <v>3.9543273822975351E-2</v>
      </c>
      <c r="P74" t="s">
        <v>39</v>
      </c>
      <c r="Q74">
        <f t="shared" si="15"/>
        <v>0.57808053002379511</v>
      </c>
      <c r="R74">
        <f t="shared" si="16"/>
        <v>37170</v>
      </c>
      <c r="S74">
        <f t="shared" si="17"/>
        <v>37170</v>
      </c>
      <c r="T74">
        <v>37170</v>
      </c>
      <c r="U74">
        <f t="shared" si="18"/>
        <v>0</v>
      </c>
      <c r="V74">
        <v>1</v>
      </c>
      <c r="W74">
        <v>0.22500000000000001</v>
      </c>
      <c r="X74">
        <f t="shared" si="19"/>
        <v>8363.25</v>
      </c>
      <c r="Y74">
        <f t="shared" si="20"/>
        <v>8363.25</v>
      </c>
      <c r="Z74">
        <f t="shared" si="21"/>
        <v>0</v>
      </c>
      <c r="AB74" t="s">
        <v>40</v>
      </c>
    </row>
    <row r="75" spans="1:28" x14ac:dyDescent="0.25">
      <c r="A75" t="s">
        <v>106</v>
      </c>
      <c r="D75" t="s">
        <v>111</v>
      </c>
      <c r="E75" t="s">
        <v>36</v>
      </c>
      <c r="F75">
        <v>37895</v>
      </c>
      <c r="G75">
        <v>37895</v>
      </c>
      <c r="H75">
        <v>1</v>
      </c>
      <c r="I75">
        <f t="shared" si="11"/>
        <v>0</v>
      </c>
      <c r="J75">
        <v>0.42</v>
      </c>
      <c r="K75">
        <f t="shared" si="12"/>
        <v>15915.9</v>
      </c>
      <c r="L75" t="s">
        <v>37</v>
      </c>
      <c r="M75" t="s">
        <v>38</v>
      </c>
      <c r="N75">
        <f t="shared" si="13"/>
        <v>4734.0252959999998</v>
      </c>
      <c r="O75">
        <f t="shared" si="14"/>
        <v>3.88253802345059E-2</v>
      </c>
      <c r="P75" t="s">
        <v>39</v>
      </c>
      <c r="Q75">
        <f t="shared" si="15"/>
        <v>0.57764876632801165</v>
      </c>
      <c r="R75">
        <f t="shared" si="16"/>
        <v>21890</v>
      </c>
      <c r="S75">
        <f t="shared" si="17"/>
        <v>21890</v>
      </c>
      <c r="T75">
        <v>21890</v>
      </c>
      <c r="U75">
        <f t="shared" si="18"/>
        <v>0</v>
      </c>
      <c r="V75">
        <v>1</v>
      </c>
      <c r="W75">
        <v>0.22500000000000001</v>
      </c>
      <c r="X75">
        <f t="shared" si="19"/>
        <v>4925.25</v>
      </c>
      <c r="Y75">
        <f t="shared" si="20"/>
        <v>4925.25</v>
      </c>
      <c r="Z75">
        <f t="shared" si="21"/>
        <v>0</v>
      </c>
      <c r="AB75" t="s">
        <v>40</v>
      </c>
    </row>
    <row r="76" spans="1:28" x14ac:dyDescent="0.25">
      <c r="A76" t="s">
        <v>106</v>
      </c>
      <c r="D76" t="s">
        <v>112</v>
      </c>
      <c r="E76" t="s">
        <v>36</v>
      </c>
      <c r="F76">
        <v>64299</v>
      </c>
      <c r="G76">
        <v>64299</v>
      </c>
      <c r="H76">
        <v>1</v>
      </c>
      <c r="I76">
        <f t="shared" si="11"/>
        <v>0</v>
      </c>
      <c r="J76">
        <v>0.42</v>
      </c>
      <c r="K76">
        <f t="shared" si="12"/>
        <v>27005.579999999998</v>
      </c>
      <c r="L76" t="s">
        <v>37</v>
      </c>
      <c r="M76" t="s">
        <v>38</v>
      </c>
      <c r="N76">
        <f t="shared" si="13"/>
        <v>8032.5397152000014</v>
      </c>
      <c r="O76">
        <f t="shared" si="14"/>
        <v>3.9543273822975351E-2</v>
      </c>
      <c r="P76" t="s">
        <v>39</v>
      </c>
      <c r="Q76">
        <f t="shared" si="15"/>
        <v>0.57808053002379511</v>
      </c>
      <c r="R76">
        <f t="shared" si="16"/>
        <v>37170</v>
      </c>
      <c r="S76">
        <f t="shared" si="17"/>
        <v>37170</v>
      </c>
      <c r="T76">
        <v>37170</v>
      </c>
      <c r="U76">
        <f t="shared" si="18"/>
        <v>0</v>
      </c>
      <c r="V76">
        <v>1</v>
      </c>
      <c r="W76">
        <v>0.22500000000000001</v>
      </c>
      <c r="X76">
        <f t="shared" si="19"/>
        <v>8363.25</v>
      </c>
      <c r="Y76">
        <f t="shared" si="20"/>
        <v>8363.25</v>
      </c>
      <c r="Z76">
        <f t="shared" si="21"/>
        <v>0</v>
      </c>
      <c r="AB76" t="s">
        <v>40</v>
      </c>
    </row>
    <row r="77" spans="1:28" x14ac:dyDescent="0.25">
      <c r="A77" t="s">
        <v>106</v>
      </c>
      <c r="D77" t="s">
        <v>113</v>
      </c>
      <c r="E77" t="s">
        <v>36</v>
      </c>
      <c r="F77">
        <v>37895</v>
      </c>
      <c r="G77">
        <v>37895</v>
      </c>
      <c r="H77">
        <v>1</v>
      </c>
      <c r="I77">
        <f t="shared" si="11"/>
        <v>0</v>
      </c>
      <c r="J77">
        <v>0.42</v>
      </c>
      <c r="K77">
        <f t="shared" si="12"/>
        <v>15915.9</v>
      </c>
      <c r="L77" t="s">
        <v>37</v>
      </c>
      <c r="M77" t="s">
        <v>38</v>
      </c>
      <c r="N77">
        <f t="shared" si="13"/>
        <v>4734.0252959999998</v>
      </c>
      <c r="O77">
        <f t="shared" si="14"/>
        <v>3.88253802345059E-2</v>
      </c>
      <c r="P77" t="s">
        <v>39</v>
      </c>
      <c r="Q77">
        <f t="shared" si="15"/>
        <v>0.57764876632801165</v>
      </c>
      <c r="R77">
        <f t="shared" si="16"/>
        <v>21890</v>
      </c>
      <c r="S77">
        <f t="shared" si="17"/>
        <v>21890</v>
      </c>
      <c r="T77">
        <v>21890</v>
      </c>
      <c r="U77">
        <f t="shared" si="18"/>
        <v>0</v>
      </c>
      <c r="V77">
        <v>1</v>
      </c>
      <c r="W77">
        <v>0.22500000000000001</v>
      </c>
      <c r="X77">
        <f t="shared" si="19"/>
        <v>4925.25</v>
      </c>
      <c r="Y77">
        <f t="shared" si="20"/>
        <v>4925.25</v>
      </c>
      <c r="Z77">
        <f t="shared" si="21"/>
        <v>0</v>
      </c>
      <c r="AB77" t="s">
        <v>40</v>
      </c>
    </row>
    <row r="78" spans="1:28" x14ac:dyDescent="0.25">
      <c r="A78" t="s">
        <v>106</v>
      </c>
      <c r="D78" t="s">
        <v>114</v>
      </c>
      <c r="E78" t="s">
        <v>36</v>
      </c>
      <c r="F78">
        <v>64299</v>
      </c>
      <c r="G78">
        <v>64299</v>
      </c>
      <c r="H78">
        <v>1</v>
      </c>
      <c r="I78">
        <f t="shared" si="11"/>
        <v>0</v>
      </c>
      <c r="J78">
        <v>0.42</v>
      </c>
      <c r="K78">
        <f t="shared" si="12"/>
        <v>27005.579999999998</v>
      </c>
      <c r="L78" t="s">
        <v>37</v>
      </c>
      <c r="M78" t="s">
        <v>38</v>
      </c>
      <c r="N78">
        <f t="shared" si="13"/>
        <v>8032.5397152000014</v>
      </c>
      <c r="O78">
        <f t="shared" si="14"/>
        <v>3.9543273822975351E-2</v>
      </c>
      <c r="P78" t="s">
        <v>39</v>
      </c>
      <c r="Q78">
        <f t="shared" si="15"/>
        <v>0.57808053002379511</v>
      </c>
      <c r="R78">
        <f t="shared" si="16"/>
        <v>37170</v>
      </c>
      <c r="S78">
        <f t="shared" si="17"/>
        <v>37170</v>
      </c>
      <c r="T78">
        <v>37170</v>
      </c>
      <c r="U78">
        <f t="shared" si="18"/>
        <v>0</v>
      </c>
      <c r="V78">
        <v>1</v>
      </c>
      <c r="W78">
        <v>0.22500000000000001</v>
      </c>
      <c r="X78">
        <f t="shared" si="19"/>
        <v>8363.25</v>
      </c>
      <c r="Y78">
        <f t="shared" si="20"/>
        <v>8363.25</v>
      </c>
      <c r="Z78">
        <f t="shared" si="21"/>
        <v>0</v>
      </c>
      <c r="AB78" t="s">
        <v>40</v>
      </c>
    </row>
    <row r="79" spans="1:28" x14ac:dyDescent="0.25">
      <c r="A79" t="s">
        <v>106</v>
      </c>
      <c r="D79" t="s">
        <v>115</v>
      </c>
      <c r="E79" t="s">
        <v>36</v>
      </c>
      <c r="F79">
        <v>39242</v>
      </c>
      <c r="G79">
        <v>39242</v>
      </c>
      <c r="H79">
        <v>1</v>
      </c>
      <c r="I79">
        <f t="shared" si="11"/>
        <v>0</v>
      </c>
      <c r="J79">
        <v>0.42</v>
      </c>
      <c r="K79">
        <f t="shared" si="12"/>
        <v>16481.64</v>
      </c>
      <c r="L79" t="s">
        <v>37</v>
      </c>
      <c r="M79" t="s">
        <v>38</v>
      </c>
      <c r="N79">
        <f t="shared" si="13"/>
        <v>4902.2990016000012</v>
      </c>
      <c r="O79">
        <f t="shared" si="14"/>
        <v>4.2706697598125121E-2</v>
      </c>
      <c r="P79" t="s">
        <v>39</v>
      </c>
      <c r="Q79">
        <f t="shared" si="15"/>
        <v>0.57999082615564956</v>
      </c>
      <c r="R79">
        <f t="shared" si="16"/>
        <v>22760</v>
      </c>
      <c r="S79">
        <f t="shared" si="17"/>
        <v>22760</v>
      </c>
      <c r="T79">
        <v>22760</v>
      </c>
      <c r="U79">
        <f t="shared" si="18"/>
        <v>0</v>
      </c>
      <c r="V79">
        <v>1</v>
      </c>
      <c r="W79">
        <v>0.22500000000000001</v>
      </c>
      <c r="X79">
        <f t="shared" si="19"/>
        <v>5121</v>
      </c>
      <c r="Y79">
        <f t="shared" si="20"/>
        <v>5121</v>
      </c>
      <c r="Z79">
        <f t="shared" si="21"/>
        <v>0</v>
      </c>
      <c r="AB79" t="s">
        <v>40</v>
      </c>
    </row>
    <row r="80" spans="1:28" x14ac:dyDescent="0.25">
      <c r="A80" t="s">
        <v>106</v>
      </c>
      <c r="D80" t="s">
        <v>116</v>
      </c>
      <c r="E80" t="s">
        <v>36</v>
      </c>
      <c r="F80">
        <v>65838</v>
      </c>
      <c r="G80">
        <v>65838</v>
      </c>
      <c r="H80">
        <v>1</v>
      </c>
      <c r="I80">
        <f t="shared" si="11"/>
        <v>0</v>
      </c>
      <c r="J80">
        <v>0.42</v>
      </c>
      <c r="K80">
        <f t="shared" si="12"/>
        <v>27651.96</v>
      </c>
      <c r="L80" t="s">
        <v>37</v>
      </c>
      <c r="M80" t="s">
        <v>38</v>
      </c>
      <c r="N80">
        <f t="shared" si="13"/>
        <v>8224.7989824000015</v>
      </c>
      <c r="O80">
        <f t="shared" si="14"/>
        <v>3.9299286622864478E-2</v>
      </c>
      <c r="P80" t="s">
        <v>39</v>
      </c>
      <c r="Q80">
        <f t="shared" si="15"/>
        <v>0.5779337160910113</v>
      </c>
      <c r="R80">
        <f t="shared" si="16"/>
        <v>38050</v>
      </c>
      <c r="S80">
        <f t="shared" si="17"/>
        <v>38050</v>
      </c>
      <c r="T80">
        <v>38050</v>
      </c>
      <c r="U80">
        <f t="shared" si="18"/>
        <v>0</v>
      </c>
      <c r="V80">
        <v>1</v>
      </c>
      <c r="W80">
        <v>0.22500000000000001</v>
      </c>
      <c r="X80">
        <f t="shared" si="19"/>
        <v>8561.25</v>
      </c>
      <c r="Y80">
        <f t="shared" si="20"/>
        <v>8561.25</v>
      </c>
      <c r="Z80">
        <f t="shared" si="21"/>
        <v>0</v>
      </c>
      <c r="AB80" t="s">
        <v>40</v>
      </c>
    </row>
    <row r="81" spans="1:28" x14ac:dyDescent="0.25">
      <c r="A81" t="s">
        <v>106</v>
      </c>
      <c r="D81" t="s">
        <v>117</v>
      </c>
      <c r="E81" t="s">
        <v>36</v>
      </c>
      <c r="F81">
        <v>39242</v>
      </c>
      <c r="G81">
        <v>39242</v>
      </c>
      <c r="H81">
        <v>1</v>
      </c>
      <c r="I81">
        <f t="shared" si="11"/>
        <v>0</v>
      </c>
      <c r="J81">
        <v>0.42</v>
      </c>
      <c r="K81">
        <f t="shared" si="12"/>
        <v>16481.64</v>
      </c>
      <c r="L81" t="s">
        <v>37</v>
      </c>
      <c r="M81" t="s">
        <v>38</v>
      </c>
      <c r="N81">
        <f t="shared" si="13"/>
        <v>4902.2990016000012</v>
      </c>
      <c r="O81">
        <f t="shared" si="14"/>
        <v>4.2706697598125121E-2</v>
      </c>
      <c r="P81" t="s">
        <v>39</v>
      </c>
      <c r="Q81">
        <f t="shared" si="15"/>
        <v>0.57999082615564956</v>
      </c>
      <c r="R81">
        <f t="shared" si="16"/>
        <v>22760</v>
      </c>
      <c r="S81">
        <f t="shared" si="17"/>
        <v>22760</v>
      </c>
      <c r="T81">
        <v>22760</v>
      </c>
      <c r="U81">
        <f t="shared" si="18"/>
        <v>0</v>
      </c>
      <c r="V81">
        <v>1</v>
      </c>
      <c r="W81">
        <v>0.22500000000000001</v>
      </c>
      <c r="X81">
        <f t="shared" si="19"/>
        <v>5121</v>
      </c>
      <c r="Y81">
        <f t="shared" si="20"/>
        <v>5121</v>
      </c>
      <c r="Z81">
        <f t="shared" si="21"/>
        <v>0</v>
      </c>
      <c r="AB81" t="s">
        <v>40</v>
      </c>
    </row>
    <row r="82" spans="1:28" x14ac:dyDescent="0.25">
      <c r="A82" t="s">
        <v>106</v>
      </c>
      <c r="D82" t="s">
        <v>118</v>
      </c>
      <c r="E82" t="s">
        <v>36</v>
      </c>
      <c r="F82">
        <v>65838</v>
      </c>
      <c r="G82">
        <v>65838</v>
      </c>
      <c r="H82">
        <v>1</v>
      </c>
      <c r="I82">
        <f t="shared" si="11"/>
        <v>0</v>
      </c>
      <c r="J82">
        <v>0.42</v>
      </c>
      <c r="K82">
        <f t="shared" si="12"/>
        <v>27651.96</v>
      </c>
      <c r="L82" t="s">
        <v>37</v>
      </c>
      <c r="M82" t="s">
        <v>38</v>
      </c>
      <c r="N82">
        <f t="shared" si="13"/>
        <v>8224.7989824000015</v>
      </c>
      <c r="O82">
        <f t="shared" si="14"/>
        <v>3.9299286622864478E-2</v>
      </c>
      <c r="P82" t="s">
        <v>39</v>
      </c>
      <c r="Q82">
        <f t="shared" si="15"/>
        <v>0.5779337160910113</v>
      </c>
      <c r="R82">
        <f t="shared" si="16"/>
        <v>38050</v>
      </c>
      <c r="S82">
        <f t="shared" si="17"/>
        <v>38050</v>
      </c>
      <c r="T82">
        <v>38050</v>
      </c>
      <c r="U82">
        <f t="shared" si="18"/>
        <v>0</v>
      </c>
      <c r="V82">
        <v>1</v>
      </c>
      <c r="W82">
        <v>0.22500000000000001</v>
      </c>
      <c r="X82">
        <f t="shared" si="19"/>
        <v>8561.25</v>
      </c>
      <c r="Y82">
        <f t="shared" si="20"/>
        <v>8561.25</v>
      </c>
      <c r="Z82">
        <f t="shared" si="21"/>
        <v>0</v>
      </c>
      <c r="AB82" t="s">
        <v>40</v>
      </c>
    </row>
    <row r="83" spans="1:28" x14ac:dyDescent="0.25">
      <c r="A83" t="s">
        <v>106</v>
      </c>
      <c r="D83" t="s">
        <v>119</v>
      </c>
      <c r="E83" t="s">
        <v>36</v>
      </c>
      <c r="F83">
        <v>41549</v>
      </c>
      <c r="G83">
        <v>41549</v>
      </c>
      <c r="H83">
        <v>1</v>
      </c>
      <c r="I83">
        <f t="shared" si="11"/>
        <v>0</v>
      </c>
      <c r="J83">
        <v>0.42</v>
      </c>
      <c r="K83">
        <f t="shared" si="12"/>
        <v>17450.579999999998</v>
      </c>
      <c r="L83" t="s">
        <v>37</v>
      </c>
      <c r="M83" t="s">
        <v>38</v>
      </c>
      <c r="N83">
        <f t="shared" si="13"/>
        <v>5190.5005152000003</v>
      </c>
      <c r="O83">
        <f t="shared" si="14"/>
        <v>3.8395532360705788E-2</v>
      </c>
      <c r="P83" t="s">
        <v>39</v>
      </c>
      <c r="Q83">
        <f t="shared" si="15"/>
        <v>0.57739055091578617</v>
      </c>
      <c r="R83">
        <f t="shared" si="16"/>
        <v>23990</v>
      </c>
      <c r="S83">
        <f t="shared" si="17"/>
        <v>23990</v>
      </c>
      <c r="T83">
        <v>23990</v>
      </c>
      <c r="U83">
        <f t="shared" si="18"/>
        <v>0</v>
      </c>
      <c r="V83">
        <v>1</v>
      </c>
      <c r="W83">
        <v>0.22500000000000001</v>
      </c>
      <c r="X83">
        <f t="shared" si="19"/>
        <v>5397.75</v>
      </c>
      <c r="Y83">
        <f t="shared" si="20"/>
        <v>5397.75</v>
      </c>
      <c r="Z83">
        <f t="shared" si="21"/>
        <v>0</v>
      </c>
      <c r="AB83" t="s">
        <v>40</v>
      </c>
    </row>
    <row r="84" spans="1:28" x14ac:dyDescent="0.25">
      <c r="A84" t="s">
        <v>106</v>
      </c>
      <c r="D84" t="s">
        <v>120</v>
      </c>
      <c r="E84" t="s">
        <v>36</v>
      </c>
      <c r="F84">
        <v>67953</v>
      </c>
      <c r="G84">
        <v>67953</v>
      </c>
      <c r="H84">
        <v>1</v>
      </c>
      <c r="I84">
        <f t="shared" si="11"/>
        <v>0</v>
      </c>
      <c r="J84">
        <v>0.42</v>
      </c>
      <c r="K84">
        <f t="shared" si="12"/>
        <v>28540.26</v>
      </c>
      <c r="L84" t="s">
        <v>37</v>
      </c>
      <c r="M84" t="s">
        <v>38</v>
      </c>
      <c r="N84">
        <f t="shared" si="13"/>
        <v>8489.0149344000001</v>
      </c>
      <c r="O84">
        <f t="shared" si="14"/>
        <v>3.9242290196078417E-2</v>
      </c>
      <c r="P84" t="s">
        <v>39</v>
      </c>
      <c r="Q84">
        <f t="shared" si="15"/>
        <v>0.57789943048872017</v>
      </c>
      <c r="R84">
        <f t="shared" si="16"/>
        <v>39270</v>
      </c>
      <c r="S84">
        <f t="shared" si="17"/>
        <v>39270</v>
      </c>
      <c r="T84">
        <v>39270</v>
      </c>
      <c r="U84">
        <f t="shared" si="18"/>
        <v>0</v>
      </c>
      <c r="V84">
        <v>1</v>
      </c>
      <c r="W84">
        <v>0.22500000000000001</v>
      </c>
      <c r="X84">
        <f t="shared" si="19"/>
        <v>8835.75</v>
      </c>
      <c r="Y84">
        <f t="shared" si="20"/>
        <v>8835.75</v>
      </c>
      <c r="Z84">
        <f t="shared" si="21"/>
        <v>0</v>
      </c>
      <c r="AB84" t="s">
        <v>40</v>
      </c>
    </row>
    <row r="85" spans="1:28" x14ac:dyDescent="0.25">
      <c r="A85" t="s">
        <v>106</v>
      </c>
      <c r="D85" t="s">
        <v>121</v>
      </c>
      <c r="E85" t="s">
        <v>36</v>
      </c>
      <c r="F85">
        <v>41549</v>
      </c>
      <c r="G85">
        <v>41549</v>
      </c>
      <c r="H85">
        <v>1</v>
      </c>
      <c r="I85">
        <f t="shared" si="11"/>
        <v>0</v>
      </c>
      <c r="J85">
        <v>0.42</v>
      </c>
      <c r="K85">
        <f t="shared" si="12"/>
        <v>17450.579999999998</v>
      </c>
      <c r="L85" t="s">
        <v>37</v>
      </c>
      <c r="M85" t="s">
        <v>38</v>
      </c>
      <c r="N85">
        <f t="shared" si="13"/>
        <v>5190.5005152000003</v>
      </c>
      <c r="O85">
        <f t="shared" si="14"/>
        <v>3.8395532360705788E-2</v>
      </c>
      <c r="P85" t="s">
        <v>39</v>
      </c>
      <c r="Q85">
        <f t="shared" si="15"/>
        <v>0.57739055091578617</v>
      </c>
      <c r="R85">
        <f t="shared" si="16"/>
        <v>23990</v>
      </c>
      <c r="S85">
        <f t="shared" si="17"/>
        <v>23990</v>
      </c>
      <c r="T85">
        <v>23990</v>
      </c>
      <c r="U85">
        <f t="shared" si="18"/>
        <v>0</v>
      </c>
      <c r="V85">
        <v>1</v>
      </c>
      <c r="W85">
        <v>0.22500000000000001</v>
      </c>
      <c r="X85">
        <f t="shared" si="19"/>
        <v>5397.75</v>
      </c>
      <c r="Y85">
        <f t="shared" si="20"/>
        <v>5397.75</v>
      </c>
      <c r="Z85">
        <f t="shared" si="21"/>
        <v>0</v>
      </c>
      <c r="AB85" t="s">
        <v>40</v>
      </c>
    </row>
    <row r="86" spans="1:28" x14ac:dyDescent="0.25">
      <c r="A86" t="s">
        <v>106</v>
      </c>
      <c r="D86" t="s">
        <v>122</v>
      </c>
      <c r="E86" t="s">
        <v>36</v>
      </c>
      <c r="F86">
        <v>67953</v>
      </c>
      <c r="G86">
        <v>67953</v>
      </c>
      <c r="H86">
        <v>1</v>
      </c>
      <c r="I86">
        <f t="shared" si="11"/>
        <v>0</v>
      </c>
      <c r="J86">
        <v>0.42</v>
      </c>
      <c r="K86">
        <f t="shared" si="12"/>
        <v>28540.26</v>
      </c>
      <c r="L86" t="s">
        <v>37</v>
      </c>
      <c r="M86" t="s">
        <v>38</v>
      </c>
      <c r="N86">
        <f t="shared" si="13"/>
        <v>8489.0149344000001</v>
      </c>
      <c r="O86">
        <f t="shared" si="14"/>
        <v>3.9242290196078417E-2</v>
      </c>
      <c r="P86" t="s">
        <v>39</v>
      </c>
      <c r="Q86">
        <f t="shared" si="15"/>
        <v>0.57789943048872017</v>
      </c>
      <c r="R86">
        <f t="shared" si="16"/>
        <v>39270</v>
      </c>
      <c r="S86">
        <f t="shared" si="17"/>
        <v>39270</v>
      </c>
      <c r="T86">
        <v>39270</v>
      </c>
      <c r="U86">
        <f t="shared" si="18"/>
        <v>0</v>
      </c>
      <c r="V86">
        <v>1</v>
      </c>
      <c r="W86">
        <v>0.22500000000000001</v>
      </c>
      <c r="X86">
        <f t="shared" si="19"/>
        <v>8835.75</v>
      </c>
      <c r="Y86">
        <f t="shared" si="20"/>
        <v>8835.75</v>
      </c>
      <c r="Z86">
        <f t="shared" si="21"/>
        <v>0</v>
      </c>
      <c r="AB86" t="s">
        <v>40</v>
      </c>
    </row>
    <row r="87" spans="1:28" x14ac:dyDescent="0.25">
      <c r="A87" t="s">
        <v>106</v>
      </c>
      <c r="D87" t="s">
        <v>123</v>
      </c>
      <c r="E87" t="s">
        <v>36</v>
      </c>
      <c r="F87">
        <v>48280</v>
      </c>
      <c r="G87">
        <v>48280</v>
      </c>
      <c r="H87">
        <v>1</v>
      </c>
      <c r="I87">
        <f t="shared" si="11"/>
        <v>0</v>
      </c>
      <c r="J87">
        <v>0.42</v>
      </c>
      <c r="K87">
        <f t="shared" si="12"/>
        <v>20277.599999999999</v>
      </c>
      <c r="L87" t="s">
        <v>37</v>
      </c>
      <c r="M87" t="s">
        <v>38</v>
      </c>
      <c r="N87">
        <f t="shared" si="13"/>
        <v>6031.3693440000006</v>
      </c>
      <c r="O87">
        <f t="shared" si="14"/>
        <v>3.6791736495388569E-2</v>
      </c>
      <c r="P87" t="s">
        <v>39</v>
      </c>
      <c r="Q87">
        <f t="shared" si="15"/>
        <v>0.5764291632145816</v>
      </c>
      <c r="R87">
        <f t="shared" si="16"/>
        <v>27830</v>
      </c>
      <c r="S87">
        <f t="shared" si="17"/>
        <v>27830</v>
      </c>
      <c r="T87">
        <v>27830</v>
      </c>
      <c r="U87">
        <f t="shared" si="18"/>
        <v>0</v>
      </c>
      <c r="V87">
        <v>1</v>
      </c>
      <c r="W87">
        <v>0.22500000000000001</v>
      </c>
      <c r="X87">
        <f t="shared" si="19"/>
        <v>6261.75</v>
      </c>
      <c r="Y87">
        <f t="shared" si="20"/>
        <v>6261.75</v>
      </c>
      <c r="Z87">
        <f t="shared" si="21"/>
        <v>0</v>
      </c>
      <c r="AB87" t="s">
        <v>40</v>
      </c>
    </row>
    <row r="88" spans="1:28" x14ac:dyDescent="0.25">
      <c r="A88" t="s">
        <v>106</v>
      </c>
      <c r="D88" t="s">
        <v>124</v>
      </c>
      <c r="E88" t="s">
        <v>36</v>
      </c>
      <c r="F88">
        <v>74684</v>
      </c>
      <c r="G88">
        <v>74684</v>
      </c>
      <c r="H88">
        <v>1</v>
      </c>
      <c r="I88">
        <f t="shared" si="11"/>
        <v>0</v>
      </c>
      <c r="J88">
        <v>0.42</v>
      </c>
      <c r="K88">
        <f t="shared" si="12"/>
        <v>31367.279999999999</v>
      </c>
      <c r="L88" t="s">
        <v>37</v>
      </c>
      <c r="M88" t="s">
        <v>38</v>
      </c>
      <c r="N88">
        <f t="shared" si="13"/>
        <v>9329.8837632000013</v>
      </c>
      <c r="O88">
        <f t="shared" si="14"/>
        <v>3.6567145477075451E-2</v>
      </c>
      <c r="P88" t="s">
        <v>39</v>
      </c>
      <c r="Q88">
        <f t="shared" si="15"/>
        <v>0.57629478870976381</v>
      </c>
      <c r="R88">
        <f t="shared" si="16"/>
        <v>43040</v>
      </c>
      <c r="S88">
        <f t="shared" si="17"/>
        <v>43040</v>
      </c>
      <c r="T88">
        <v>43040</v>
      </c>
      <c r="U88">
        <f t="shared" si="18"/>
        <v>0</v>
      </c>
      <c r="V88">
        <v>1</v>
      </c>
      <c r="W88">
        <v>0.22500000000000001</v>
      </c>
      <c r="X88">
        <f t="shared" si="19"/>
        <v>9684</v>
      </c>
      <c r="Y88">
        <f t="shared" si="20"/>
        <v>9684</v>
      </c>
      <c r="Z88">
        <f t="shared" si="21"/>
        <v>0</v>
      </c>
      <c r="AB88" t="s">
        <v>40</v>
      </c>
    </row>
    <row r="89" spans="1:28" x14ac:dyDescent="0.25">
      <c r="A89" t="s">
        <v>106</v>
      </c>
      <c r="D89" t="s">
        <v>125</v>
      </c>
      <c r="E89" t="s">
        <v>36</v>
      </c>
      <c r="F89">
        <v>52511</v>
      </c>
      <c r="G89">
        <v>52511</v>
      </c>
      <c r="H89">
        <v>1</v>
      </c>
      <c r="I89">
        <f t="shared" si="11"/>
        <v>0</v>
      </c>
      <c r="J89">
        <v>0.42</v>
      </c>
      <c r="K89">
        <f t="shared" si="12"/>
        <v>22054.62</v>
      </c>
      <c r="L89" t="s">
        <v>37</v>
      </c>
      <c r="M89" t="s">
        <v>38</v>
      </c>
      <c r="N89">
        <f t="shared" si="13"/>
        <v>6559.9261728000001</v>
      </c>
      <c r="O89">
        <f t="shared" si="14"/>
        <v>3.778127278327844E-2</v>
      </c>
      <c r="P89" t="s">
        <v>39</v>
      </c>
      <c r="Q89">
        <f t="shared" si="15"/>
        <v>0.57702195730418393</v>
      </c>
      <c r="R89">
        <f t="shared" si="16"/>
        <v>30300.000000000004</v>
      </c>
      <c r="S89">
        <f t="shared" si="17"/>
        <v>30300.000000000004</v>
      </c>
      <c r="T89">
        <v>30300</v>
      </c>
      <c r="U89">
        <f t="shared" si="18"/>
        <v>-1.2006530716474299E-16</v>
      </c>
      <c r="V89">
        <v>1</v>
      </c>
      <c r="W89">
        <v>0.22500000000000001</v>
      </c>
      <c r="X89">
        <f t="shared" si="19"/>
        <v>6817.5000000000009</v>
      </c>
      <c r="Y89">
        <f t="shared" si="20"/>
        <v>6817.5000000000009</v>
      </c>
      <c r="Z89">
        <f t="shared" si="21"/>
        <v>0</v>
      </c>
      <c r="AB89" t="s">
        <v>40</v>
      </c>
    </row>
    <row r="90" spans="1:28" x14ac:dyDescent="0.25">
      <c r="A90" t="s">
        <v>106</v>
      </c>
      <c r="D90" t="s">
        <v>126</v>
      </c>
      <c r="E90" t="s">
        <v>36</v>
      </c>
      <c r="F90">
        <v>78915</v>
      </c>
      <c r="G90">
        <v>78915</v>
      </c>
      <c r="H90">
        <v>1</v>
      </c>
      <c r="I90">
        <f t="shared" si="11"/>
        <v>0</v>
      </c>
      <c r="J90">
        <v>0.42</v>
      </c>
      <c r="K90">
        <f t="shared" si="12"/>
        <v>33144.299999999996</v>
      </c>
      <c r="L90" t="s">
        <v>37</v>
      </c>
      <c r="M90" t="s">
        <v>38</v>
      </c>
      <c r="N90">
        <f t="shared" si="13"/>
        <v>9858.4405920000008</v>
      </c>
      <c r="O90">
        <f t="shared" si="14"/>
        <v>3.7238156009668122E-2</v>
      </c>
      <c r="P90" t="s">
        <v>39</v>
      </c>
      <c r="Q90">
        <f t="shared" si="15"/>
        <v>0.57669644554267252</v>
      </c>
      <c r="R90">
        <f t="shared" si="16"/>
        <v>45510</v>
      </c>
      <c r="S90">
        <f t="shared" si="17"/>
        <v>45510</v>
      </c>
      <c r="T90">
        <v>45510</v>
      </c>
      <c r="U90">
        <f t="shared" si="18"/>
        <v>0</v>
      </c>
      <c r="V90">
        <v>1</v>
      </c>
      <c r="W90">
        <v>0.22500000000000001</v>
      </c>
      <c r="X90">
        <f t="shared" si="19"/>
        <v>10239.75</v>
      </c>
      <c r="Y90">
        <f t="shared" si="20"/>
        <v>10239.75</v>
      </c>
      <c r="Z90">
        <f t="shared" si="21"/>
        <v>0</v>
      </c>
      <c r="AB90" t="s">
        <v>40</v>
      </c>
    </row>
    <row r="91" spans="1:28" x14ac:dyDescent="0.25">
      <c r="A91" t="s">
        <v>106</v>
      </c>
      <c r="D91" t="s">
        <v>127</v>
      </c>
      <c r="E91" t="s">
        <v>36</v>
      </c>
      <c r="F91">
        <v>52511</v>
      </c>
      <c r="G91">
        <v>52511</v>
      </c>
      <c r="H91">
        <v>1</v>
      </c>
      <c r="I91">
        <f t="shared" si="11"/>
        <v>0</v>
      </c>
      <c r="J91">
        <v>0.42</v>
      </c>
      <c r="K91">
        <f t="shared" si="12"/>
        <v>22054.62</v>
      </c>
      <c r="L91" t="s">
        <v>37</v>
      </c>
      <c r="M91" t="s">
        <v>38</v>
      </c>
      <c r="N91">
        <f t="shared" si="13"/>
        <v>6559.9261728000001</v>
      </c>
      <c r="O91">
        <f t="shared" si="14"/>
        <v>3.778127278327844E-2</v>
      </c>
      <c r="P91" t="s">
        <v>39</v>
      </c>
      <c r="Q91">
        <f t="shared" si="15"/>
        <v>0.57702195730418393</v>
      </c>
      <c r="R91">
        <f t="shared" si="16"/>
        <v>30300.000000000004</v>
      </c>
      <c r="S91">
        <f t="shared" si="17"/>
        <v>30300.000000000004</v>
      </c>
      <c r="T91">
        <v>30300</v>
      </c>
      <c r="U91">
        <f t="shared" si="18"/>
        <v>-1.2006530716474299E-16</v>
      </c>
      <c r="V91">
        <v>1</v>
      </c>
      <c r="W91">
        <v>0.22500000000000001</v>
      </c>
      <c r="X91">
        <f t="shared" si="19"/>
        <v>6817.5000000000009</v>
      </c>
      <c r="Y91">
        <f t="shared" si="20"/>
        <v>6817.5000000000009</v>
      </c>
      <c r="Z91">
        <f t="shared" si="21"/>
        <v>0</v>
      </c>
      <c r="AB91" t="s">
        <v>40</v>
      </c>
    </row>
    <row r="92" spans="1:28" x14ac:dyDescent="0.25">
      <c r="A92" t="s">
        <v>106</v>
      </c>
      <c r="D92" t="s">
        <v>128</v>
      </c>
      <c r="E92" t="s">
        <v>36</v>
      </c>
      <c r="F92">
        <v>78915</v>
      </c>
      <c r="G92">
        <v>78915</v>
      </c>
      <c r="H92">
        <v>1</v>
      </c>
      <c r="I92">
        <f t="shared" si="11"/>
        <v>0</v>
      </c>
      <c r="J92">
        <v>0.42</v>
      </c>
      <c r="K92">
        <f t="shared" si="12"/>
        <v>33144.299999999996</v>
      </c>
      <c r="L92" t="s">
        <v>37</v>
      </c>
      <c r="M92" t="s">
        <v>38</v>
      </c>
      <c r="N92">
        <f t="shared" si="13"/>
        <v>9858.4405920000008</v>
      </c>
      <c r="O92">
        <f t="shared" si="14"/>
        <v>3.7238156009668122E-2</v>
      </c>
      <c r="P92" t="s">
        <v>39</v>
      </c>
      <c r="Q92">
        <f t="shared" si="15"/>
        <v>0.57669644554267252</v>
      </c>
      <c r="R92">
        <f t="shared" si="16"/>
        <v>45510</v>
      </c>
      <c r="S92">
        <f t="shared" si="17"/>
        <v>45510</v>
      </c>
      <c r="T92">
        <v>45510</v>
      </c>
      <c r="U92">
        <f t="shared" si="18"/>
        <v>0</v>
      </c>
      <c r="V92">
        <v>1</v>
      </c>
      <c r="W92">
        <v>0.22500000000000001</v>
      </c>
      <c r="X92">
        <f t="shared" si="19"/>
        <v>10239.75</v>
      </c>
      <c r="Y92">
        <f t="shared" si="20"/>
        <v>10239.75</v>
      </c>
      <c r="Z92">
        <f t="shared" si="21"/>
        <v>0</v>
      </c>
      <c r="AB92" t="s">
        <v>40</v>
      </c>
    </row>
    <row r="93" spans="1:28" x14ac:dyDescent="0.25">
      <c r="A93" t="s">
        <v>106</v>
      </c>
      <c r="D93" t="s">
        <v>129</v>
      </c>
      <c r="E93" t="s">
        <v>36</v>
      </c>
      <c r="F93">
        <v>42246</v>
      </c>
      <c r="G93">
        <v>42246</v>
      </c>
      <c r="H93">
        <v>1</v>
      </c>
      <c r="I93">
        <f t="shared" si="11"/>
        <v>0</v>
      </c>
      <c r="J93">
        <v>0.42</v>
      </c>
      <c r="K93">
        <f t="shared" si="12"/>
        <v>17743.32</v>
      </c>
      <c r="L93" t="s">
        <v>37</v>
      </c>
      <c r="M93" t="s">
        <v>38</v>
      </c>
      <c r="N93">
        <f t="shared" si="13"/>
        <v>5277.5731008000002</v>
      </c>
      <c r="O93">
        <f t="shared" si="14"/>
        <v>3.6719488788500981E-2</v>
      </c>
      <c r="P93" t="s">
        <v>39</v>
      </c>
      <c r="Q93">
        <f t="shared" si="15"/>
        <v>0.5763859300288785</v>
      </c>
      <c r="R93">
        <f t="shared" si="16"/>
        <v>24350</v>
      </c>
      <c r="S93">
        <f t="shared" si="17"/>
        <v>24350</v>
      </c>
      <c r="T93">
        <v>24350</v>
      </c>
      <c r="U93">
        <f t="shared" si="18"/>
        <v>0</v>
      </c>
      <c r="V93">
        <v>1</v>
      </c>
      <c r="W93">
        <v>0.22500000000000001</v>
      </c>
      <c r="X93">
        <f t="shared" si="19"/>
        <v>5478.75</v>
      </c>
      <c r="Y93">
        <f t="shared" si="20"/>
        <v>5478.75</v>
      </c>
      <c r="Z93">
        <f t="shared" si="21"/>
        <v>0</v>
      </c>
      <c r="AB93" t="s">
        <v>40</v>
      </c>
    </row>
    <row r="94" spans="1:28" x14ac:dyDescent="0.25">
      <c r="A94" t="s">
        <v>106</v>
      </c>
      <c r="D94" t="s">
        <v>130</v>
      </c>
      <c r="E94" t="s">
        <v>36</v>
      </c>
      <c r="F94">
        <v>73650</v>
      </c>
      <c r="G94">
        <v>73650</v>
      </c>
      <c r="H94">
        <v>1</v>
      </c>
      <c r="I94">
        <f t="shared" si="11"/>
        <v>0</v>
      </c>
      <c r="J94">
        <v>0.42</v>
      </c>
      <c r="K94">
        <f t="shared" si="12"/>
        <v>30933</v>
      </c>
      <c r="L94" t="s">
        <v>37</v>
      </c>
      <c r="M94" t="s">
        <v>38</v>
      </c>
      <c r="N94">
        <f t="shared" si="13"/>
        <v>9200.7115200000026</v>
      </c>
      <c r="O94">
        <f t="shared" si="14"/>
        <v>3.715443371791826E-2</v>
      </c>
      <c r="P94" t="s">
        <v>39</v>
      </c>
      <c r="Q94">
        <f t="shared" si="15"/>
        <v>0.57664630006788864</v>
      </c>
      <c r="R94">
        <f t="shared" si="16"/>
        <v>42470</v>
      </c>
      <c r="S94">
        <f t="shared" si="17"/>
        <v>42470</v>
      </c>
      <c r="T94">
        <v>42470</v>
      </c>
      <c r="U94">
        <f t="shared" si="18"/>
        <v>0</v>
      </c>
      <c r="V94">
        <v>1</v>
      </c>
      <c r="W94">
        <v>0.22500000000000001</v>
      </c>
      <c r="X94">
        <f t="shared" si="19"/>
        <v>9555.75</v>
      </c>
      <c r="Y94">
        <f t="shared" si="20"/>
        <v>9555.75</v>
      </c>
      <c r="Z94">
        <f t="shared" si="21"/>
        <v>0</v>
      </c>
      <c r="AB94" t="s">
        <v>40</v>
      </c>
    </row>
    <row r="95" spans="1:28" x14ac:dyDescent="0.25">
      <c r="A95" t="s">
        <v>106</v>
      </c>
      <c r="D95" t="s">
        <v>131</v>
      </c>
      <c r="E95" t="s">
        <v>36</v>
      </c>
      <c r="F95">
        <v>39362</v>
      </c>
      <c r="G95">
        <v>39362</v>
      </c>
      <c r="H95">
        <v>1</v>
      </c>
      <c r="I95">
        <f t="shared" si="11"/>
        <v>0</v>
      </c>
      <c r="J95">
        <v>0.42</v>
      </c>
      <c r="K95">
        <f t="shared" si="12"/>
        <v>16532.04</v>
      </c>
      <c r="L95" t="s">
        <v>37</v>
      </c>
      <c r="M95" t="s">
        <v>38</v>
      </c>
      <c r="N95">
        <f t="shared" si="13"/>
        <v>4917.2899776000013</v>
      </c>
      <c r="O95">
        <f t="shared" si="14"/>
        <v>4.2723516308949959E-2</v>
      </c>
      <c r="P95" t="s">
        <v>39</v>
      </c>
      <c r="Q95">
        <f t="shared" si="15"/>
        <v>0.58000101620852595</v>
      </c>
      <c r="R95">
        <f t="shared" si="16"/>
        <v>22830</v>
      </c>
      <c r="S95">
        <f t="shared" si="17"/>
        <v>22830</v>
      </c>
      <c r="T95">
        <v>22830</v>
      </c>
      <c r="U95">
        <f t="shared" si="18"/>
        <v>0</v>
      </c>
      <c r="V95">
        <v>1</v>
      </c>
      <c r="W95">
        <v>0.22500000000000001</v>
      </c>
      <c r="X95">
        <f t="shared" si="19"/>
        <v>5136.75</v>
      </c>
      <c r="Y95">
        <f t="shared" si="20"/>
        <v>5136.75</v>
      </c>
      <c r="Z95">
        <f t="shared" si="21"/>
        <v>0</v>
      </c>
      <c r="AB95" t="s">
        <v>40</v>
      </c>
    </row>
    <row r="96" spans="1:28" x14ac:dyDescent="0.25">
      <c r="A96" t="s">
        <v>106</v>
      </c>
      <c r="D96" t="s">
        <v>132</v>
      </c>
      <c r="E96" t="s">
        <v>36</v>
      </c>
      <c r="F96">
        <v>70573</v>
      </c>
      <c r="G96">
        <v>70573</v>
      </c>
      <c r="H96">
        <v>1</v>
      </c>
      <c r="I96">
        <f t="shared" si="11"/>
        <v>0</v>
      </c>
      <c r="J96">
        <v>0.42</v>
      </c>
      <c r="K96">
        <f t="shared" si="12"/>
        <v>29640.66</v>
      </c>
      <c r="L96" t="s">
        <v>37</v>
      </c>
      <c r="M96" t="s">
        <v>38</v>
      </c>
      <c r="N96">
        <f t="shared" si="13"/>
        <v>8816.3179104000028</v>
      </c>
      <c r="O96">
        <f t="shared" si="14"/>
        <v>3.7729981401440425E-2</v>
      </c>
      <c r="P96" t="s">
        <v>39</v>
      </c>
      <c r="Q96">
        <f t="shared" si="15"/>
        <v>0.57699120060079634</v>
      </c>
      <c r="R96">
        <f t="shared" si="16"/>
        <v>40720</v>
      </c>
      <c r="S96">
        <f t="shared" si="17"/>
        <v>40720</v>
      </c>
      <c r="T96">
        <v>40720</v>
      </c>
      <c r="U96">
        <f t="shared" si="18"/>
        <v>0</v>
      </c>
      <c r="V96">
        <v>1</v>
      </c>
      <c r="W96">
        <v>0.22500000000000001</v>
      </c>
      <c r="X96">
        <f t="shared" si="19"/>
        <v>9162</v>
      </c>
      <c r="Y96">
        <f t="shared" si="20"/>
        <v>9162</v>
      </c>
      <c r="Z96">
        <f t="shared" si="21"/>
        <v>0</v>
      </c>
      <c r="AB96" t="s">
        <v>40</v>
      </c>
    </row>
    <row r="97" spans="1:28" x14ac:dyDescent="0.25">
      <c r="A97" t="s">
        <v>106</v>
      </c>
      <c r="D97" t="s">
        <v>133</v>
      </c>
      <c r="E97" t="s">
        <v>36</v>
      </c>
      <c r="F97">
        <v>39362</v>
      </c>
      <c r="G97">
        <v>39362</v>
      </c>
      <c r="H97">
        <v>1</v>
      </c>
      <c r="I97">
        <f t="shared" si="11"/>
        <v>0</v>
      </c>
      <c r="J97">
        <v>0.42</v>
      </c>
      <c r="K97">
        <f t="shared" si="12"/>
        <v>16532.04</v>
      </c>
      <c r="L97" t="s">
        <v>37</v>
      </c>
      <c r="M97" t="s">
        <v>38</v>
      </c>
      <c r="N97">
        <f t="shared" si="13"/>
        <v>4917.2899776000013</v>
      </c>
      <c r="O97">
        <f t="shared" si="14"/>
        <v>4.2723516308949959E-2</v>
      </c>
      <c r="P97" t="s">
        <v>39</v>
      </c>
      <c r="Q97">
        <f t="shared" si="15"/>
        <v>0.58000101620852595</v>
      </c>
      <c r="R97">
        <f t="shared" si="16"/>
        <v>22830</v>
      </c>
      <c r="S97">
        <f t="shared" si="17"/>
        <v>22830</v>
      </c>
      <c r="T97">
        <v>22830</v>
      </c>
      <c r="U97">
        <f t="shared" si="18"/>
        <v>0</v>
      </c>
      <c r="V97">
        <v>1</v>
      </c>
      <c r="W97">
        <v>0.22500000000000001</v>
      </c>
      <c r="X97">
        <f t="shared" si="19"/>
        <v>5136.75</v>
      </c>
      <c r="Y97">
        <f t="shared" si="20"/>
        <v>5136.75</v>
      </c>
      <c r="Z97">
        <f t="shared" si="21"/>
        <v>0</v>
      </c>
      <c r="AB97" t="s">
        <v>40</v>
      </c>
    </row>
    <row r="98" spans="1:28" x14ac:dyDescent="0.25">
      <c r="A98" t="s">
        <v>106</v>
      </c>
      <c r="D98" t="s">
        <v>134</v>
      </c>
      <c r="E98" t="s">
        <v>36</v>
      </c>
      <c r="F98">
        <v>70573</v>
      </c>
      <c r="G98">
        <v>70573</v>
      </c>
      <c r="H98">
        <v>1</v>
      </c>
      <c r="I98">
        <f t="shared" si="11"/>
        <v>0</v>
      </c>
      <c r="J98">
        <v>0.42</v>
      </c>
      <c r="K98">
        <f t="shared" si="12"/>
        <v>29640.66</v>
      </c>
      <c r="L98" t="s">
        <v>37</v>
      </c>
      <c r="M98" t="s">
        <v>38</v>
      </c>
      <c r="N98">
        <f t="shared" si="13"/>
        <v>8816.3179104000028</v>
      </c>
      <c r="O98">
        <f t="shared" si="14"/>
        <v>3.7729981401440425E-2</v>
      </c>
      <c r="P98" t="s">
        <v>39</v>
      </c>
      <c r="Q98">
        <f t="shared" si="15"/>
        <v>0.57699120060079634</v>
      </c>
      <c r="R98">
        <f t="shared" si="16"/>
        <v>40720</v>
      </c>
      <c r="S98">
        <f t="shared" si="17"/>
        <v>40720</v>
      </c>
      <c r="T98">
        <v>40720</v>
      </c>
      <c r="U98">
        <f t="shared" si="18"/>
        <v>0</v>
      </c>
      <c r="V98">
        <v>1</v>
      </c>
      <c r="W98">
        <v>0.22500000000000001</v>
      </c>
      <c r="X98">
        <f t="shared" si="19"/>
        <v>9162</v>
      </c>
      <c r="Y98">
        <f t="shared" si="20"/>
        <v>9162</v>
      </c>
      <c r="Z98">
        <f t="shared" si="21"/>
        <v>0</v>
      </c>
      <c r="AB98" t="s">
        <v>40</v>
      </c>
    </row>
    <row r="99" spans="1:28" x14ac:dyDescent="0.25">
      <c r="A99" t="s">
        <v>106</v>
      </c>
      <c r="D99" t="s">
        <v>135</v>
      </c>
      <c r="E99" t="s">
        <v>36</v>
      </c>
      <c r="F99">
        <v>39362</v>
      </c>
      <c r="G99">
        <v>39362</v>
      </c>
      <c r="H99">
        <v>1</v>
      </c>
      <c r="I99">
        <f t="shared" si="11"/>
        <v>0</v>
      </c>
      <c r="J99">
        <v>0.42</v>
      </c>
      <c r="K99">
        <f t="shared" si="12"/>
        <v>16532.04</v>
      </c>
      <c r="L99" t="s">
        <v>37</v>
      </c>
      <c r="M99" t="s">
        <v>38</v>
      </c>
      <c r="N99">
        <f t="shared" si="13"/>
        <v>4917.2899776000013</v>
      </c>
      <c r="O99">
        <f t="shared" si="14"/>
        <v>4.2723516308949959E-2</v>
      </c>
      <c r="P99" t="s">
        <v>39</v>
      </c>
      <c r="Q99">
        <f t="shared" si="15"/>
        <v>0.58000101620852595</v>
      </c>
      <c r="R99">
        <f t="shared" si="16"/>
        <v>22830</v>
      </c>
      <c r="S99">
        <f t="shared" si="17"/>
        <v>22830</v>
      </c>
      <c r="T99">
        <v>22830</v>
      </c>
      <c r="U99">
        <f t="shared" si="18"/>
        <v>0</v>
      </c>
      <c r="V99">
        <v>1</v>
      </c>
      <c r="W99">
        <v>0.22500000000000001</v>
      </c>
      <c r="X99">
        <f t="shared" si="19"/>
        <v>5136.75</v>
      </c>
      <c r="Y99">
        <f t="shared" si="20"/>
        <v>5136.75</v>
      </c>
      <c r="Z99">
        <f t="shared" si="21"/>
        <v>0</v>
      </c>
      <c r="AB99" t="s">
        <v>40</v>
      </c>
    </row>
    <row r="100" spans="1:28" x14ac:dyDescent="0.25">
      <c r="A100" t="s">
        <v>106</v>
      </c>
      <c r="D100" t="s">
        <v>136</v>
      </c>
      <c r="E100" t="s">
        <v>36</v>
      </c>
      <c r="F100">
        <v>70573</v>
      </c>
      <c r="G100">
        <v>70573</v>
      </c>
      <c r="H100">
        <v>1</v>
      </c>
      <c r="I100">
        <f t="shared" si="11"/>
        <v>0</v>
      </c>
      <c r="J100">
        <v>0.42</v>
      </c>
      <c r="K100">
        <f t="shared" si="12"/>
        <v>29640.66</v>
      </c>
      <c r="L100" t="s">
        <v>37</v>
      </c>
      <c r="M100" t="s">
        <v>38</v>
      </c>
      <c r="N100">
        <f t="shared" si="13"/>
        <v>8816.3179104000028</v>
      </c>
      <c r="O100">
        <f t="shared" si="14"/>
        <v>3.7729981401440425E-2</v>
      </c>
      <c r="P100" t="s">
        <v>39</v>
      </c>
      <c r="Q100">
        <f t="shared" si="15"/>
        <v>0.57699120060079634</v>
      </c>
      <c r="R100">
        <f t="shared" si="16"/>
        <v>40720</v>
      </c>
      <c r="S100">
        <f t="shared" si="17"/>
        <v>40720</v>
      </c>
      <c r="T100">
        <v>40720</v>
      </c>
      <c r="U100">
        <f t="shared" si="18"/>
        <v>0</v>
      </c>
      <c r="V100">
        <v>1</v>
      </c>
      <c r="W100">
        <v>0.22500000000000001</v>
      </c>
      <c r="X100">
        <f t="shared" si="19"/>
        <v>9162</v>
      </c>
      <c r="Y100">
        <f t="shared" si="20"/>
        <v>9162</v>
      </c>
      <c r="Z100">
        <f t="shared" si="21"/>
        <v>0</v>
      </c>
      <c r="AB100" t="s">
        <v>40</v>
      </c>
    </row>
    <row r="101" spans="1:28" x14ac:dyDescent="0.25">
      <c r="A101" t="s">
        <v>106</v>
      </c>
      <c r="D101" t="s">
        <v>137</v>
      </c>
      <c r="E101" t="s">
        <v>36</v>
      </c>
      <c r="F101">
        <v>42246</v>
      </c>
      <c r="G101">
        <v>42246</v>
      </c>
      <c r="H101">
        <v>1</v>
      </c>
      <c r="I101">
        <f t="shared" si="11"/>
        <v>0</v>
      </c>
      <c r="J101">
        <v>0.42</v>
      </c>
      <c r="K101">
        <f t="shared" si="12"/>
        <v>17743.32</v>
      </c>
      <c r="L101" t="s">
        <v>37</v>
      </c>
      <c r="M101" t="s">
        <v>38</v>
      </c>
      <c r="N101">
        <f t="shared" si="13"/>
        <v>5277.5731008000002</v>
      </c>
      <c r="O101">
        <f t="shared" si="14"/>
        <v>3.6719488788500981E-2</v>
      </c>
      <c r="P101" t="s">
        <v>39</v>
      </c>
      <c r="Q101">
        <f t="shared" si="15"/>
        <v>0.5763859300288785</v>
      </c>
      <c r="R101">
        <f t="shared" si="16"/>
        <v>24350</v>
      </c>
      <c r="S101">
        <f t="shared" si="17"/>
        <v>24350</v>
      </c>
      <c r="T101">
        <v>24350</v>
      </c>
      <c r="U101">
        <f t="shared" si="18"/>
        <v>0</v>
      </c>
      <c r="V101">
        <v>1</v>
      </c>
      <c r="W101">
        <v>0.22500000000000001</v>
      </c>
      <c r="X101">
        <f t="shared" si="19"/>
        <v>5478.75</v>
      </c>
      <c r="Y101">
        <f t="shared" si="20"/>
        <v>5478.75</v>
      </c>
      <c r="Z101">
        <f t="shared" si="21"/>
        <v>0</v>
      </c>
      <c r="AB101" t="s">
        <v>40</v>
      </c>
    </row>
    <row r="102" spans="1:28" x14ac:dyDescent="0.25">
      <c r="A102" t="s">
        <v>106</v>
      </c>
      <c r="D102" t="s">
        <v>138</v>
      </c>
      <c r="E102" t="s">
        <v>36</v>
      </c>
      <c r="F102">
        <v>73650</v>
      </c>
      <c r="G102">
        <v>73650</v>
      </c>
      <c r="H102">
        <v>1</v>
      </c>
      <c r="I102">
        <f t="shared" si="11"/>
        <v>0</v>
      </c>
      <c r="J102">
        <v>0.42</v>
      </c>
      <c r="K102">
        <f t="shared" si="12"/>
        <v>30933</v>
      </c>
      <c r="L102" t="s">
        <v>37</v>
      </c>
      <c r="M102" t="s">
        <v>38</v>
      </c>
      <c r="N102">
        <f t="shared" si="13"/>
        <v>9200.7115200000026</v>
      </c>
      <c r="O102">
        <f t="shared" si="14"/>
        <v>3.715443371791826E-2</v>
      </c>
      <c r="P102" t="s">
        <v>39</v>
      </c>
      <c r="Q102">
        <f t="shared" si="15"/>
        <v>0.57664630006788864</v>
      </c>
      <c r="R102">
        <f t="shared" si="16"/>
        <v>42470</v>
      </c>
      <c r="S102">
        <f t="shared" si="17"/>
        <v>42470</v>
      </c>
      <c r="T102">
        <v>42470</v>
      </c>
      <c r="U102">
        <f t="shared" si="18"/>
        <v>0</v>
      </c>
      <c r="V102">
        <v>1</v>
      </c>
      <c r="W102">
        <v>0.22500000000000001</v>
      </c>
      <c r="X102">
        <f t="shared" si="19"/>
        <v>9555.75</v>
      </c>
      <c r="Y102">
        <f t="shared" si="20"/>
        <v>9555.75</v>
      </c>
      <c r="Z102">
        <f t="shared" si="21"/>
        <v>0</v>
      </c>
      <c r="AB102" t="s">
        <v>40</v>
      </c>
    </row>
    <row r="103" spans="1:28" x14ac:dyDescent="0.25">
      <c r="A103" t="s">
        <v>106</v>
      </c>
      <c r="D103" t="s">
        <v>139</v>
      </c>
      <c r="E103" t="s">
        <v>36</v>
      </c>
      <c r="F103">
        <v>42246</v>
      </c>
      <c r="G103">
        <v>42246</v>
      </c>
      <c r="H103">
        <v>1</v>
      </c>
      <c r="I103">
        <f t="shared" si="11"/>
        <v>0</v>
      </c>
      <c r="J103">
        <v>0.42</v>
      </c>
      <c r="K103">
        <f t="shared" si="12"/>
        <v>17743.32</v>
      </c>
      <c r="L103" t="s">
        <v>37</v>
      </c>
      <c r="M103" t="s">
        <v>38</v>
      </c>
      <c r="N103">
        <f t="shared" si="13"/>
        <v>5277.5731008000002</v>
      </c>
      <c r="O103">
        <f t="shared" si="14"/>
        <v>3.6719488788500981E-2</v>
      </c>
      <c r="P103" t="s">
        <v>39</v>
      </c>
      <c r="Q103">
        <f t="shared" si="15"/>
        <v>0.5763859300288785</v>
      </c>
      <c r="R103">
        <f t="shared" si="16"/>
        <v>24350</v>
      </c>
      <c r="S103">
        <f t="shared" si="17"/>
        <v>24350</v>
      </c>
      <c r="T103">
        <v>24350</v>
      </c>
      <c r="U103">
        <f t="shared" si="18"/>
        <v>0</v>
      </c>
      <c r="V103">
        <v>1</v>
      </c>
      <c r="W103">
        <v>0.22500000000000001</v>
      </c>
      <c r="X103">
        <f t="shared" si="19"/>
        <v>5478.75</v>
      </c>
      <c r="Y103">
        <f t="shared" si="20"/>
        <v>5478.75</v>
      </c>
      <c r="Z103">
        <f t="shared" si="21"/>
        <v>0</v>
      </c>
      <c r="AB103" t="s">
        <v>40</v>
      </c>
    </row>
    <row r="104" spans="1:28" x14ac:dyDescent="0.25">
      <c r="A104" t="s">
        <v>106</v>
      </c>
      <c r="D104" t="s">
        <v>140</v>
      </c>
      <c r="E104" t="s">
        <v>36</v>
      </c>
      <c r="F104">
        <v>73650</v>
      </c>
      <c r="G104">
        <v>73650</v>
      </c>
      <c r="H104">
        <v>1</v>
      </c>
      <c r="I104">
        <f t="shared" si="11"/>
        <v>0</v>
      </c>
      <c r="J104">
        <v>0.42</v>
      </c>
      <c r="K104">
        <f t="shared" si="12"/>
        <v>30933</v>
      </c>
      <c r="L104" t="s">
        <v>37</v>
      </c>
      <c r="M104" t="s">
        <v>38</v>
      </c>
      <c r="N104">
        <f t="shared" si="13"/>
        <v>9200.7115200000026</v>
      </c>
      <c r="O104">
        <f t="shared" si="14"/>
        <v>3.715443371791826E-2</v>
      </c>
      <c r="P104" t="s">
        <v>39</v>
      </c>
      <c r="Q104">
        <f t="shared" si="15"/>
        <v>0.57664630006788864</v>
      </c>
      <c r="R104">
        <f t="shared" si="16"/>
        <v>42470</v>
      </c>
      <c r="S104">
        <f t="shared" si="17"/>
        <v>42470</v>
      </c>
      <c r="T104">
        <v>42470</v>
      </c>
      <c r="U104">
        <f t="shared" si="18"/>
        <v>0</v>
      </c>
      <c r="V104">
        <v>1</v>
      </c>
      <c r="W104">
        <v>0.22500000000000001</v>
      </c>
      <c r="X104">
        <f t="shared" si="19"/>
        <v>9555.75</v>
      </c>
      <c r="Y104">
        <f t="shared" si="20"/>
        <v>9555.75</v>
      </c>
      <c r="Z104">
        <f t="shared" si="21"/>
        <v>0</v>
      </c>
      <c r="AB104" t="s">
        <v>40</v>
      </c>
    </row>
    <row r="105" spans="1:28" x14ac:dyDescent="0.25">
      <c r="A105" t="s">
        <v>106</v>
      </c>
      <c r="D105" t="s">
        <v>141</v>
      </c>
      <c r="E105" t="s">
        <v>36</v>
      </c>
      <c r="F105">
        <v>44554</v>
      </c>
      <c r="G105">
        <v>44554</v>
      </c>
      <c r="H105">
        <v>1</v>
      </c>
      <c r="I105">
        <f t="shared" si="11"/>
        <v>0</v>
      </c>
      <c r="J105">
        <v>0.42</v>
      </c>
      <c r="K105">
        <f t="shared" si="12"/>
        <v>18712.68</v>
      </c>
      <c r="L105" t="s">
        <v>37</v>
      </c>
      <c r="M105" t="s">
        <v>38</v>
      </c>
      <c r="N105">
        <f t="shared" si="13"/>
        <v>5565.8995392000006</v>
      </c>
      <c r="O105">
        <f t="shared" si="14"/>
        <v>3.595747134320592E-2</v>
      </c>
      <c r="P105" t="s">
        <v>39</v>
      </c>
      <c r="Q105">
        <f t="shared" si="15"/>
        <v>0.57593033173227992</v>
      </c>
      <c r="R105">
        <f t="shared" si="16"/>
        <v>25660</v>
      </c>
      <c r="S105">
        <f t="shared" si="17"/>
        <v>25660</v>
      </c>
      <c r="T105">
        <v>25660</v>
      </c>
      <c r="U105">
        <f t="shared" si="18"/>
        <v>0</v>
      </c>
      <c r="V105">
        <v>1</v>
      </c>
      <c r="W105">
        <v>0.22500000000000001</v>
      </c>
      <c r="X105">
        <f t="shared" si="19"/>
        <v>5773.5</v>
      </c>
      <c r="Y105">
        <f t="shared" si="20"/>
        <v>5773.5</v>
      </c>
      <c r="Z105">
        <f t="shared" si="21"/>
        <v>0</v>
      </c>
      <c r="AB105" t="s">
        <v>40</v>
      </c>
    </row>
    <row r="106" spans="1:28" x14ac:dyDescent="0.25">
      <c r="A106" t="s">
        <v>106</v>
      </c>
      <c r="D106" t="s">
        <v>142</v>
      </c>
      <c r="E106" t="s">
        <v>36</v>
      </c>
      <c r="F106">
        <v>75765</v>
      </c>
      <c r="G106">
        <v>75765</v>
      </c>
      <c r="H106">
        <v>1</v>
      </c>
      <c r="I106">
        <f t="shared" si="11"/>
        <v>0</v>
      </c>
      <c r="J106">
        <v>0.42</v>
      </c>
      <c r="K106">
        <f t="shared" si="12"/>
        <v>31821.3</v>
      </c>
      <c r="L106" t="s">
        <v>37</v>
      </c>
      <c r="M106" t="s">
        <v>38</v>
      </c>
      <c r="N106">
        <f t="shared" si="13"/>
        <v>9464.9274720000012</v>
      </c>
      <c r="O106">
        <f t="shared" si="14"/>
        <v>4.0457474452554619E-2</v>
      </c>
      <c r="P106" t="s">
        <v>39</v>
      </c>
      <c r="Q106">
        <f t="shared" si="15"/>
        <v>0.57863129413317493</v>
      </c>
      <c r="R106">
        <f t="shared" si="16"/>
        <v>43840</v>
      </c>
      <c r="S106">
        <f t="shared" si="17"/>
        <v>43840</v>
      </c>
      <c r="T106">
        <v>43840</v>
      </c>
      <c r="U106">
        <f t="shared" si="18"/>
        <v>0</v>
      </c>
      <c r="V106">
        <v>1</v>
      </c>
      <c r="W106">
        <v>0.22500000000000001</v>
      </c>
      <c r="X106">
        <f t="shared" si="19"/>
        <v>9864</v>
      </c>
      <c r="Y106">
        <f t="shared" si="20"/>
        <v>9864</v>
      </c>
      <c r="Z106">
        <f t="shared" si="21"/>
        <v>0</v>
      </c>
      <c r="AB106" t="s">
        <v>40</v>
      </c>
    </row>
    <row r="107" spans="1:28" x14ac:dyDescent="0.25">
      <c r="A107" t="s">
        <v>106</v>
      </c>
      <c r="D107" t="s">
        <v>143</v>
      </c>
      <c r="E107" t="s">
        <v>36</v>
      </c>
      <c r="F107">
        <v>44554</v>
      </c>
      <c r="G107">
        <v>44554</v>
      </c>
      <c r="H107">
        <v>1</v>
      </c>
      <c r="I107">
        <f t="shared" si="11"/>
        <v>0</v>
      </c>
      <c r="J107">
        <v>0.42</v>
      </c>
      <c r="K107">
        <f t="shared" si="12"/>
        <v>18712.68</v>
      </c>
      <c r="L107" t="s">
        <v>37</v>
      </c>
      <c r="M107" t="s">
        <v>38</v>
      </c>
      <c r="N107">
        <f t="shared" si="13"/>
        <v>5565.8995392000006</v>
      </c>
      <c r="O107">
        <f t="shared" si="14"/>
        <v>3.595747134320592E-2</v>
      </c>
      <c r="P107" t="s">
        <v>39</v>
      </c>
      <c r="Q107">
        <f t="shared" si="15"/>
        <v>0.57593033173227992</v>
      </c>
      <c r="R107">
        <f t="shared" si="16"/>
        <v>25660</v>
      </c>
      <c r="S107">
        <f t="shared" si="17"/>
        <v>25660</v>
      </c>
      <c r="T107">
        <v>25660</v>
      </c>
      <c r="U107">
        <f t="shared" si="18"/>
        <v>0</v>
      </c>
      <c r="V107">
        <v>1</v>
      </c>
      <c r="W107">
        <v>0.22500000000000001</v>
      </c>
      <c r="X107">
        <f t="shared" si="19"/>
        <v>5773.5</v>
      </c>
      <c r="Y107">
        <f t="shared" si="20"/>
        <v>5773.5</v>
      </c>
      <c r="Z107">
        <f t="shared" si="21"/>
        <v>0</v>
      </c>
      <c r="AB107" t="s">
        <v>40</v>
      </c>
    </row>
    <row r="108" spans="1:28" x14ac:dyDescent="0.25">
      <c r="A108" t="s">
        <v>106</v>
      </c>
      <c r="D108" t="s">
        <v>144</v>
      </c>
      <c r="E108" t="s">
        <v>36</v>
      </c>
      <c r="F108">
        <v>75765</v>
      </c>
      <c r="G108">
        <v>75765</v>
      </c>
      <c r="H108">
        <v>1</v>
      </c>
      <c r="I108">
        <f t="shared" si="11"/>
        <v>0</v>
      </c>
      <c r="J108">
        <v>0.42</v>
      </c>
      <c r="K108">
        <f t="shared" si="12"/>
        <v>31821.3</v>
      </c>
      <c r="L108" t="s">
        <v>37</v>
      </c>
      <c r="M108" t="s">
        <v>38</v>
      </c>
      <c r="N108">
        <f t="shared" si="13"/>
        <v>9464.9274720000012</v>
      </c>
      <c r="O108">
        <f t="shared" si="14"/>
        <v>4.0457474452554619E-2</v>
      </c>
      <c r="P108" t="s">
        <v>39</v>
      </c>
      <c r="Q108">
        <f t="shared" si="15"/>
        <v>0.57863129413317493</v>
      </c>
      <c r="R108">
        <f t="shared" si="16"/>
        <v>43840</v>
      </c>
      <c r="S108">
        <f t="shared" si="17"/>
        <v>43840</v>
      </c>
      <c r="T108">
        <v>43840</v>
      </c>
      <c r="U108">
        <f t="shared" si="18"/>
        <v>0</v>
      </c>
      <c r="V108">
        <v>1</v>
      </c>
      <c r="W108">
        <v>0.22500000000000001</v>
      </c>
      <c r="X108">
        <f t="shared" si="19"/>
        <v>9864</v>
      </c>
      <c r="Y108">
        <f t="shared" si="20"/>
        <v>9864</v>
      </c>
      <c r="Z108">
        <f t="shared" si="21"/>
        <v>0</v>
      </c>
      <c r="AB108" t="s">
        <v>40</v>
      </c>
    </row>
    <row r="109" spans="1:28" x14ac:dyDescent="0.25">
      <c r="A109" t="s">
        <v>106</v>
      </c>
      <c r="D109" t="s">
        <v>145</v>
      </c>
      <c r="E109" t="s">
        <v>36</v>
      </c>
      <c r="F109">
        <v>51285</v>
      </c>
      <c r="G109">
        <v>51285</v>
      </c>
      <c r="H109">
        <v>1</v>
      </c>
      <c r="I109">
        <f t="shared" si="11"/>
        <v>0</v>
      </c>
      <c r="J109">
        <v>0.42</v>
      </c>
      <c r="K109">
        <f t="shared" si="12"/>
        <v>21539.7</v>
      </c>
      <c r="L109" t="s">
        <v>37</v>
      </c>
      <c r="M109" t="s">
        <v>38</v>
      </c>
      <c r="N109">
        <f t="shared" si="13"/>
        <v>6406.7683680000009</v>
      </c>
      <c r="O109">
        <f t="shared" si="14"/>
        <v>3.964498887015163E-2</v>
      </c>
      <c r="P109" t="s">
        <v>39</v>
      </c>
      <c r="Q109">
        <f t="shared" si="15"/>
        <v>0.57814175684898117</v>
      </c>
      <c r="R109">
        <f t="shared" si="16"/>
        <v>29650</v>
      </c>
      <c r="S109">
        <f t="shared" si="17"/>
        <v>29650</v>
      </c>
      <c r="T109">
        <v>29650</v>
      </c>
      <c r="U109">
        <f t="shared" si="18"/>
        <v>0</v>
      </c>
      <c r="V109">
        <v>1</v>
      </c>
      <c r="W109">
        <v>0.22500000000000001</v>
      </c>
      <c r="X109">
        <f t="shared" si="19"/>
        <v>6671.25</v>
      </c>
      <c r="Y109">
        <f t="shared" si="20"/>
        <v>6671.25</v>
      </c>
      <c r="Z109">
        <f t="shared" si="21"/>
        <v>0</v>
      </c>
      <c r="AB109" t="s">
        <v>40</v>
      </c>
    </row>
    <row r="110" spans="1:28" x14ac:dyDescent="0.25">
      <c r="A110" t="s">
        <v>106</v>
      </c>
      <c r="D110" t="s">
        <v>146</v>
      </c>
      <c r="E110" t="s">
        <v>36</v>
      </c>
      <c r="F110">
        <v>82496</v>
      </c>
      <c r="G110">
        <v>82496</v>
      </c>
      <c r="H110">
        <v>1</v>
      </c>
      <c r="I110">
        <f t="shared" si="11"/>
        <v>0</v>
      </c>
      <c r="J110">
        <v>0.42</v>
      </c>
      <c r="K110">
        <f t="shared" si="12"/>
        <v>34648.32</v>
      </c>
      <c r="L110" t="s">
        <v>37</v>
      </c>
      <c r="M110" t="s">
        <v>38</v>
      </c>
      <c r="N110">
        <f t="shared" si="13"/>
        <v>10305.796300800002</v>
      </c>
      <c r="O110">
        <f t="shared" si="14"/>
        <v>3.6526312270368587E-2</v>
      </c>
      <c r="P110" t="s">
        <v>39</v>
      </c>
      <c r="Q110">
        <f t="shared" si="15"/>
        <v>0.57627036462373937</v>
      </c>
      <c r="R110">
        <f t="shared" si="16"/>
        <v>47540</v>
      </c>
      <c r="S110">
        <f t="shared" si="17"/>
        <v>47540</v>
      </c>
      <c r="T110">
        <v>47540</v>
      </c>
      <c r="U110">
        <f t="shared" si="18"/>
        <v>0</v>
      </c>
      <c r="V110">
        <v>1</v>
      </c>
      <c r="W110">
        <v>0.22500000000000001</v>
      </c>
      <c r="X110">
        <f t="shared" si="19"/>
        <v>10696.5</v>
      </c>
      <c r="Y110">
        <f t="shared" si="20"/>
        <v>10696.5</v>
      </c>
      <c r="Z110">
        <f t="shared" si="21"/>
        <v>0</v>
      </c>
      <c r="AB110" t="s">
        <v>40</v>
      </c>
    </row>
    <row r="111" spans="1:28" x14ac:dyDescent="0.25">
      <c r="A111" t="s">
        <v>106</v>
      </c>
      <c r="D111" t="s">
        <v>147</v>
      </c>
      <c r="E111" t="s">
        <v>36</v>
      </c>
      <c r="F111">
        <v>58208</v>
      </c>
      <c r="G111">
        <v>58208</v>
      </c>
      <c r="H111">
        <v>1</v>
      </c>
      <c r="I111">
        <f t="shared" si="11"/>
        <v>0</v>
      </c>
      <c r="J111">
        <v>0.42</v>
      </c>
      <c r="K111">
        <f t="shared" si="12"/>
        <v>24447.360000000001</v>
      </c>
      <c r="L111" t="s">
        <v>37</v>
      </c>
      <c r="M111" t="s">
        <v>38</v>
      </c>
      <c r="N111">
        <f t="shared" si="13"/>
        <v>7271.6227584000007</v>
      </c>
      <c r="O111">
        <f t="shared" si="14"/>
        <v>3.9003170661115971E-2</v>
      </c>
      <c r="P111" t="s">
        <v>39</v>
      </c>
      <c r="Q111">
        <f t="shared" si="15"/>
        <v>0.57775563496426607</v>
      </c>
      <c r="R111">
        <f t="shared" si="16"/>
        <v>33630</v>
      </c>
      <c r="S111">
        <f t="shared" si="17"/>
        <v>33630</v>
      </c>
      <c r="T111">
        <v>33630</v>
      </c>
      <c r="U111">
        <f t="shared" si="18"/>
        <v>0</v>
      </c>
      <c r="V111">
        <v>1</v>
      </c>
      <c r="W111">
        <v>0.22500000000000001</v>
      </c>
      <c r="X111">
        <f t="shared" si="19"/>
        <v>7566.75</v>
      </c>
      <c r="Y111">
        <f t="shared" si="20"/>
        <v>7566.75</v>
      </c>
      <c r="Z111">
        <f t="shared" si="21"/>
        <v>0</v>
      </c>
      <c r="AB111" t="s">
        <v>40</v>
      </c>
    </row>
    <row r="112" spans="1:28" x14ac:dyDescent="0.25">
      <c r="A112" t="s">
        <v>106</v>
      </c>
      <c r="D112" t="s">
        <v>148</v>
      </c>
      <c r="E112" t="s">
        <v>36</v>
      </c>
      <c r="F112">
        <v>89804</v>
      </c>
      <c r="G112">
        <v>89804</v>
      </c>
      <c r="H112">
        <v>1</v>
      </c>
      <c r="I112">
        <f t="shared" si="11"/>
        <v>0</v>
      </c>
      <c r="J112">
        <v>0.42</v>
      </c>
      <c r="K112">
        <f t="shared" si="12"/>
        <v>37717.68</v>
      </c>
      <c r="L112" t="s">
        <v>37</v>
      </c>
      <c r="M112" t="s">
        <v>38</v>
      </c>
      <c r="N112">
        <f t="shared" si="13"/>
        <v>11218.746739200002</v>
      </c>
      <c r="O112">
        <f t="shared" si="14"/>
        <v>3.7616355555555259E-2</v>
      </c>
      <c r="P112" t="s">
        <v>39</v>
      </c>
      <c r="Q112">
        <f t="shared" si="15"/>
        <v>0.57692307692307687</v>
      </c>
      <c r="R112">
        <f t="shared" si="16"/>
        <v>51809.999999999993</v>
      </c>
      <c r="S112">
        <f t="shared" si="17"/>
        <v>51809.999999999993</v>
      </c>
      <c r="T112">
        <v>51810</v>
      </c>
      <c r="U112">
        <f t="shared" si="18"/>
        <v>1.4043539112494552E-16</v>
      </c>
      <c r="V112">
        <v>1</v>
      </c>
      <c r="W112">
        <v>0.22500000000000001</v>
      </c>
      <c r="X112">
        <f t="shared" si="19"/>
        <v>11657.249999999998</v>
      </c>
      <c r="Y112">
        <f t="shared" si="20"/>
        <v>11657.249999999998</v>
      </c>
      <c r="Z112">
        <f t="shared" si="21"/>
        <v>0</v>
      </c>
      <c r="AB112" t="s">
        <v>40</v>
      </c>
    </row>
    <row r="113" spans="1:28" x14ac:dyDescent="0.25">
      <c r="A113" t="s">
        <v>106</v>
      </c>
      <c r="D113" t="s">
        <v>149</v>
      </c>
      <c r="E113" t="s">
        <v>36</v>
      </c>
      <c r="F113">
        <v>58208</v>
      </c>
      <c r="G113">
        <v>58208</v>
      </c>
      <c r="H113">
        <v>1</v>
      </c>
      <c r="I113">
        <f t="shared" si="11"/>
        <v>0</v>
      </c>
      <c r="J113">
        <v>0.42</v>
      </c>
      <c r="K113">
        <f t="shared" si="12"/>
        <v>24447.360000000001</v>
      </c>
      <c r="L113" t="s">
        <v>37</v>
      </c>
      <c r="M113" t="s">
        <v>38</v>
      </c>
      <c r="N113">
        <f t="shared" si="13"/>
        <v>7271.6227584000007</v>
      </c>
      <c r="O113">
        <f t="shared" si="14"/>
        <v>3.9003170661115971E-2</v>
      </c>
      <c r="P113" t="s">
        <v>39</v>
      </c>
      <c r="Q113">
        <f t="shared" si="15"/>
        <v>0.57775563496426607</v>
      </c>
      <c r="R113">
        <f t="shared" si="16"/>
        <v>33630</v>
      </c>
      <c r="S113">
        <f t="shared" si="17"/>
        <v>33630</v>
      </c>
      <c r="T113">
        <v>33630</v>
      </c>
      <c r="U113">
        <f t="shared" si="18"/>
        <v>0</v>
      </c>
      <c r="V113">
        <v>1</v>
      </c>
      <c r="W113">
        <v>0.22500000000000001</v>
      </c>
      <c r="X113">
        <f t="shared" si="19"/>
        <v>7566.75</v>
      </c>
      <c r="Y113">
        <f t="shared" si="20"/>
        <v>7566.75</v>
      </c>
      <c r="Z113">
        <f t="shared" si="21"/>
        <v>0</v>
      </c>
      <c r="AB113" t="s">
        <v>40</v>
      </c>
    </row>
    <row r="114" spans="1:28" x14ac:dyDescent="0.25">
      <c r="A114" t="s">
        <v>106</v>
      </c>
      <c r="D114" t="s">
        <v>150</v>
      </c>
      <c r="E114" t="s">
        <v>36</v>
      </c>
      <c r="F114">
        <v>89804</v>
      </c>
      <c r="G114">
        <v>89804</v>
      </c>
      <c r="H114">
        <v>1</v>
      </c>
      <c r="I114">
        <f t="shared" si="11"/>
        <v>0</v>
      </c>
      <c r="J114">
        <v>0.42</v>
      </c>
      <c r="K114">
        <f t="shared" si="12"/>
        <v>37717.68</v>
      </c>
      <c r="L114" t="s">
        <v>37</v>
      </c>
      <c r="M114" t="s">
        <v>38</v>
      </c>
      <c r="N114">
        <f t="shared" si="13"/>
        <v>11218.746739200002</v>
      </c>
      <c r="O114">
        <f t="shared" si="14"/>
        <v>3.7616355555555259E-2</v>
      </c>
      <c r="P114" t="s">
        <v>39</v>
      </c>
      <c r="Q114">
        <f t="shared" si="15"/>
        <v>0.57692307692307687</v>
      </c>
      <c r="R114">
        <f t="shared" si="16"/>
        <v>51809.999999999993</v>
      </c>
      <c r="S114">
        <f t="shared" si="17"/>
        <v>51809.999999999993</v>
      </c>
      <c r="T114">
        <v>51810</v>
      </c>
      <c r="U114">
        <f t="shared" si="18"/>
        <v>1.4043539112494552E-16</v>
      </c>
      <c r="V114">
        <v>1</v>
      </c>
      <c r="W114">
        <v>0.22500000000000001</v>
      </c>
      <c r="X114">
        <f t="shared" si="19"/>
        <v>11657.249999999998</v>
      </c>
      <c r="Y114">
        <f t="shared" si="20"/>
        <v>11657.249999999998</v>
      </c>
      <c r="Z114">
        <f t="shared" si="21"/>
        <v>0</v>
      </c>
      <c r="AB114" t="s">
        <v>40</v>
      </c>
    </row>
    <row r="115" spans="1:28" x14ac:dyDescent="0.25">
      <c r="A115" t="s">
        <v>106</v>
      </c>
      <c r="D115" t="s">
        <v>151</v>
      </c>
      <c r="E115" t="s">
        <v>36</v>
      </c>
      <c r="F115">
        <v>62492</v>
      </c>
      <c r="G115">
        <v>62492</v>
      </c>
      <c r="H115">
        <v>1</v>
      </c>
      <c r="I115">
        <f t="shared" si="11"/>
        <v>0</v>
      </c>
      <c r="J115">
        <v>0.42</v>
      </c>
      <c r="K115">
        <f t="shared" si="12"/>
        <v>26246.639999999999</v>
      </c>
      <c r="L115" t="s">
        <v>37</v>
      </c>
      <c r="M115" t="s">
        <v>38</v>
      </c>
      <c r="N115">
        <f t="shared" si="13"/>
        <v>7806.8006016000008</v>
      </c>
      <c r="O115">
        <f t="shared" si="14"/>
        <v>3.6732605145289553E-2</v>
      </c>
      <c r="P115" t="s">
        <v>39</v>
      </c>
      <c r="Q115">
        <f t="shared" si="15"/>
        <v>0.5763937784036357</v>
      </c>
      <c r="R115">
        <f t="shared" si="16"/>
        <v>36020</v>
      </c>
      <c r="S115">
        <f t="shared" si="17"/>
        <v>36020</v>
      </c>
      <c r="T115">
        <v>36020</v>
      </c>
      <c r="U115">
        <f t="shared" si="18"/>
        <v>0</v>
      </c>
      <c r="V115">
        <v>1</v>
      </c>
      <c r="W115">
        <v>0.22500000000000001</v>
      </c>
      <c r="X115">
        <f t="shared" si="19"/>
        <v>8104.5</v>
      </c>
      <c r="Y115">
        <f t="shared" si="20"/>
        <v>8104.5</v>
      </c>
      <c r="Z115">
        <f t="shared" si="21"/>
        <v>0</v>
      </c>
      <c r="AB115" t="s">
        <v>40</v>
      </c>
    </row>
    <row r="116" spans="1:28" x14ac:dyDescent="0.25">
      <c r="A116" t="s">
        <v>106</v>
      </c>
      <c r="D116" t="s">
        <v>152</v>
      </c>
      <c r="E116" t="s">
        <v>36</v>
      </c>
      <c r="F116">
        <v>95626</v>
      </c>
      <c r="G116">
        <v>95626</v>
      </c>
      <c r="H116">
        <v>1</v>
      </c>
      <c r="I116">
        <f t="shared" si="11"/>
        <v>0</v>
      </c>
      <c r="J116">
        <v>0.42</v>
      </c>
      <c r="K116">
        <f t="shared" si="12"/>
        <v>40162.92</v>
      </c>
      <c r="L116" t="s">
        <v>37</v>
      </c>
      <c r="M116" t="s">
        <v>38</v>
      </c>
      <c r="N116">
        <f t="shared" si="13"/>
        <v>11946.0589248</v>
      </c>
      <c r="O116">
        <f t="shared" si="14"/>
        <v>3.8333721765380697E-2</v>
      </c>
      <c r="P116" t="s">
        <v>39</v>
      </c>
      <c r="Q116">
        <f t="shared" si="15"/>
        <v>0.57735343944115614</v>
      </c>
      <c r="R116">
        <f t="shared" si="16"/>
        <v>55210</v>
      </c>
      <c r="S116">
        <f t="shared" si="17"/>
        <v>55210</v>
      </c>
      <c r="T116">
        <v>55210</v>
      </c>
      <c r="U116">
        <f t="shared" si="18"/>
        <v>0</v>
      </c>
      <c r="V116">
        <v>1</v>
      </c>
      <c r="W116">
        <v>0.22500000000000001</v>
      </c>
      <c r="X116">
        <f t="shared" si="19"/>
        <v>12422.25</v>
      </c>
      <c r="Y116">
        <f t="shared" si="20"/>
        <v>12422.25</v>
      </c>
      <c r="Z116">
        <f t="shared" si="21"/>
        <v>0</v>
      </c>
      <c r="AB116" t="s">
        <v>40</v>
      </c>
    </row>
    <row r="117" spans="1:28" x14ac:dyDescent="0.25">
      <c r="A117" t="s">
        <v>106</v>
      </c>
      <c r="D117" t="s">
        <v>153</v>
      </c>
      <c r="E117" t="s">
        <v>36</v>
      </c>
      <c r="F117">
        <v>59222</v>
      </c>
      <c r="G117">
        <v>59222</v>
      </c>
      <c r="H117">
        <v>1</v>
      </c>
      <c r="I117">
        <f t="shared" si="11"/>
        <v>0</v>
      </c>
      <c r="J117">
        <v>0.42</v>
      </c>
      <c r="K117">
        <f t="shared" si="12"/>
        <v>24873.239999999998</v>
      </c>
      <c r="L117" t="s">
        <v>37</v>
      </c>
      <c r="M117" t="s">
        <v>38</v>
      </c>
      <c r="N117">
        <f t="shared" si="13"/>
        <v>7398.2965056000003</v>
      </c>
      <c r="O117">
        <f t="shared" si="14"/>
        <v>3.8557958986354737E-2</v>
      </c>
      <c r="P117" t="s">
        <v>39</v>
      </c>
      <c r="Q117">
        <f t="shared" si="15"/>
        <v>0.5774880956401337</v>
      </c>
      <c r="R117">
        <f t="shared" si="16"/>
        <v>34200</v>
      </c>
      <c r="S117">
        <f t="shared" si="17"/>
        <v>34200</v>
      </c>
      <c r="T117">
        <v>34200</v>
      </c>
      <c r="U117">
        <f t="shared" si="18"/>
        <v>0</v>
      </c>
      <c r="V117">
        <v>1</v>
      </c>
      <c r="W117">
        <v>0.22500000000000001</v>
      </c>
      <c r="X117">
        <f t="shared" si="19"/>
        <v>7695</v>
      </c>
      <c r="Y117">
        <f t="shared" si="20"/>
        <v>7695</v>
      </c>
      <c r="Z117">
        <f t="shared" si="21"/>
        <v>0</v>
      </c>
      <c r="AB117" t="s">
        <v>40</v>
      </c>
    </row>
    <row r="118" spans="1:28" x14ac:dyDescent="0.25">
      <c r="A118" t="s">
        <v>106</v>
      </c>
      <c r="D118" t="s">
        <v>154</v>
      </c>
      <c r="E118" t="s">
        <v>36</v>
      </c>
      <c r="F118">
        <v>90049</v>
      </c>
      <c r="G118">
        <v>90049</v>
      </c>
      <c r="H118">
        <v>1</v>
      </c>
      <c r="I118">
        <f t="shared" si="11"/>
        <v>0</v>
      </c>
      <c r="J118">
        <v>0.42</v>
      </c>
      <c r="K118">
        <f t="shared" si="12"/>
        <v>37820.58</v>
      </c>
      <c r="L118" t="s">
        <v>37</v>
      </c>
      <c r="M118" t="s">
        <v>38</v>
      </c>
      <c r="N118">
        <f t="shared" si="13"/>
        <v>11249.353315200002</v>
      </c>
      <c r="O118">
        <f t="shared" si="14"/>
        <v>3.7776638850397587E-2</v>
      </c>
      <c r="P118" t="s">
        <v>39</v>
      </c>
      <c r="Q118">
        <f t="shared" si="15"/>
        <v>0.57701917844728978</v>
      </c>
      <c r="R118">
        <f t="shared" si="16"/>
        <v>51960</v>
      </c>
      <c r="S118">
        <f t="shared" si="17"/>
        <v>51960</v>
      </c>
      <c r="T118">
        <v>51960</v>
      </c>
      <c r="U118">
        <f t="shared" si="18"/>
        <v>0</v>
      </c>
      <c r="V118">
        <v>1</v>
      </c>
      <c r="W118">
        <v>0.22500000000000001</v>
      </c>
      <c r="X118">
        <f t="shared" si="19"/>
        <v>11691</v>
      </c>
      <c r="Y118">
        <f t="shared" si="20"/>
        <v>11691</v>
      </c>
      <c r="Z118">
        <f t="shared" si="21"/>
        <v>0</v>
      </c>
      <c r="AB118" t="s">
        <v>40</v>
      </c>
    </row>
    <row r="119" spans="1:28" x14ac:dyDescent="0.25">
      <c r="A119" t="s">
        <v>106</v>
      </c>
      <c r="D119" t="s">
        <v>155</v>
      </c>
      <c r="E119" t="s">
        <v>36</v>
      </c>
      <c r="F119">
        <v>59222</v>
      </c>
      <c r="G119">
        <v>59222</v>
      </c>
      <c r="H119">
        <v>1</v>
      </c>
      <c r="I119">
        <f t="shared" si="11"/>
        <v>0</v>
      </c>
      <c r="J119">
        <v>0.42</v>
      </c>
      <c r="K119">
        <f t="shared" si="12"/>
        <v>24873.239999999998</v>
      </c>
      <c r="L119" t="s">
        <v>37</v>
      </c>
      <c r="M119" t="s">
        <v>38</v>
      </c>
      <c r="N119">
        <f t="shared" si="13"/>
        <v>7398.2965056000003</v>
      </c>
      <c r="O119">
        <f t="shared" si="14"/>
        <v>3.8557958986354737E-2</v>
      </c>
      <c r="P119" t="s">
        <v>39</v>
      </c>
      <c r="Q119">
        <f t="shared" si="15"/>
        <v>0.5774880956401337</v>
      </c>
      <c r="R119">
        <f t="shared" si="16"/>
        <v>34200</v>
      </c>
      <c r="S119">
        <f t="shared" si="17"/>
        <v>34200</v>
      </c>
      <c r="T119">
        <v>34200</v>
      </c>
      <c r="U119">
        <f t="shared" si="18"/>
        <v>0</v>
      </c>
      <c r="V119">
        <v>1</v>
      </c>
      <c r="W119">
        <v>0.22500000000000001</v>
      </c>
      <c r="X119">
        <f t="shared" si="19"/>
        <v>7695</v>
      </c>
      <c r="Y119">
        <f t="shared" si="20"/>
        <v>7695</v>
      </c>
      <c r="Z119">
        <f t="shared" si="21"/>
        <v>0</v>
      </c>
      <c r="AB119" t="s">
        <v>40</v>
      </c>
    </row>
    <row r="120" spans="1:28" x14ac:dyDescent="0.25">
      <c r="A120" t="s">
        <v>106</v>
      </c>
      <c r="D120" t="s">
        <v>156</v>
      </c>
      <c r="E120" t="s">
        <v>36</v>
      </c>
      <c r="F120">
        <v>90049</v>
      </c>
      <c r="G120">
        <v>90049</v>
      </c>
      <c r="H120">
        <v>1</v>
      </c>
      <c r="I120">
        <f t="shared" si="11"/>
        <v>0</v>
      </c>
      <c r="J120">
        <v>0.42</v>
      </c>
      <c r="K120">
        <f t="shared" si="12"/>
        <v>37820.58</v>
      </c>
      <c r="L120" t="s">
        <v>37</v>
      </c>
      <c r="M120" t="s">
        <v>38</v>
      </c>
      <c r="N120">
        <f t="shared" si="13"/>
        <v>11249.353315200002</v>
      </c>
      <c r="O120">
        <f t="shared" si="14"/>
        <v>3.7776638850397587E-2</v>
      </c>
      <c r="P120" t="s">
        <v>39</v>
      </c>
      <c r="Q120">
        <f t="shared" si="15"/>
        <v>0.57701917844728978</v>
      </c>
      <c r="R120">
        <f t="shared" si="16"/>
        <v>51960</v>
      </c>
      <c r="S120">
        <f t="shared" si="17"/>
        <v>51960</v>
      </c>
      <c r="T120">
        <v>51960</v>
      </c>
      <c r="U120">
        <f t="shared" si="18"/>
        <v>0</v>
      </c>
      <c r="V120">
        <v>1</v>
      </c>
      <c r="W120">
        <v>0.22500000000000001</v>
      </c>
      <c r="X120">
        <f t="shared" si="19"/>
        <v>11691</v>
      </c>
      <c r="Y120">
        <f t="shared" si="20"/>
        <v>11691</v>
      </c>
      <c r="Z120">
        <f t="shared" si="21"/>
        <v>0</v>
      </c>
      <c r="AB120" t="s">
        <v>40</v>
      </c>
    </row>
    <row r="121" spans="1:28" x14ac:dyDescent="0.25">
      <c r="A121" t="s">
        <v>106</v>
      </c>
      <c r="D121" t="s">
        <v>157</v>
      </c>
      <c r="E121" t="s">
        <v>36</v>
      </c>
      <c r="F121">
        <v>59222</v>
      </c>
      <c r="G121">
        <v>59222</v>
      </c>
      <c r="H121">
        <v>1</v>
      </c>
      <c r="I121">
        <f t="shared" si="11"/>
        <v>0</v>
      </c>
      <c r="J121">
        <v>0.42</v>
      </c>
      <c r="K121">
        <f t="shared" si="12"/>
        <v>24873.239999999998</v>
      </c>
      <c r="L121" t="s">
        <v>37</v>
      </c>
      <c r="M121" t="s">
        <v>38</v>
      </c>
      <c r="N121">
        <f t="shared" si="13"/>
        <v>7398.2965056000003</v>
      </c>
      <c r="O121">
        <f t="shared" si="14"/>
        <v>3.8557958986354737E-2</v>
      </c>
      <c r="P121" t="s">
        <v>39</v>
      </c>
      <c r="Q121">
        <f t="shared" si="15"/>
        <v>0.5774880956401337</v>
      </c>
      <c r="R121">
        <f t="shared" si="16"/>
        <v>34200</v>
      </c>
      <c r="S121">
        <f t="shared" si="17"/>
        <v>34200</v>
      </c>
      <c r="T121">
        <v>34200</v>
      </c>
      <c r="U121">
        <f t="shared" si="18"/>
        <v>0</v>
      </c>
      <c r="V121">
        <v>1</v>
      </c>
      <c r="W121">
        <v>0.22500000000000001</v>
      </c>
      <c r="X121">
        <f t="shared" si="19"/>
        <v>7695</v>
      </c>
      <c r="Y121">
        <f t="shared" si="20"/>
        <v>7695</v>
      </c>
      <c r="Z121">
        <f t="shared" si="21"/>
        <v>0</v>
      </c>
      <c r="AB121" t="s">
        <v>40</v>
      </c>
    </row>
    <row r="122" spans="1:28" x14ac:dyDescent="0.25">
      <c r="A122" t="s">
        <v>106</v>
      </c>
      <c r="D122" t="s">
        <v>158</v>
      </c>
      <c r="E122" t="s">
        <v>36</v>
      </c>
      <c r="F122">
        <v>90049</v>
      </c>
      <c r="G122">
        <v>90049</v>
      </c>
      <c r="H122">
        <v>1</v>
      </c>
      <c r="I122">
        <f t="shared" si="11"/>
        <v>0</v>
      </c>
      <c r="J122">
        <v>0.42</v>
      </c>
      <c r="K122">
        <f t="shared" si="12"/>
        <v>37820.58</v>
      </c>
      <c r="L122" t="s">
        <v>37</v>
      </c>
      <c r="M122" t="s">
        <v>38</v>
      </c>
      <c r="N122">
        <f t="shared" si="13"/>
        <v>11249.353315200002</v>
      </c>
      <c r="O122">
        <f t="shared" si="14"/>
        <v>3.7776638850397587E-2</v>
      </c>
      <c r="P122" t="s">
        <v>39</v>
      </c>
      <c r="Q122">
        <f t="shared" si="15"/>
        <v>0.57701917844728978</v>
      </c>
      <c r="R122">
        <f t="shared" si="16"/>
        <v>51960</v>
      </c>
      <c r="S122">
        <f t="shared" si="17"/>
        <v>51960</v>
      </c>
      <c r="T122">
        <v>51960</v>
      </c>
      <c r="U122">
        <f t="shared" si="18"/>
        <v>0</v>
      </c>
      <c r="V122">
        <v>1</v>
      </c>
      <c r="W122">
        <v>0.22500000000000001</v>
      </c>
      <c r="X122">
        <f t="shared" si="19"/>
        <v>11691</v>
      </c>
      <c r="Y122">
        <f t="shared" si="20"/>
        <v>11691</v>
      </c>
      <c r="Z122">
        <f t="shared" si="21"/>
        <v>0</v>
      </c>
      <c r="AB122" t="s">
        <v>40</v>
      </c>
    </row>
    <row r="123" spans="1:28" x14ac:dyDescent="0.25">
      <c r="A123" t="s">
        <v>106</v>
      </c>
      <c r="D123" t="s">
        <v>159</v>
      </c>
      <c r="E123" t="s">
        <v>36</v>
      </c>
      <c r="F123">
        <v>62492</v>
      </c>
      <c r="G123">
        <v>62492</v>
      </c>
      <c r="H123">
        <v>1</v>
      </c>
      <c r="I123">
        <f t="shared" si="11"/>
        <v>0</v>
      </c>
      <c r="J123">
        <v>0.42</v>
      </c>
      <c r="K123">
        <f t="shared" si="12"/>
        <v>26246.639999999999</v>
      </c>
      <c r="L123" t="s">
        <v>37</v>
      </c>
      <c r="M123" t="s">
        <v>38</v>
      </c>
      <c r="N123">
        <f t="shared" si="13"/>
        <v>7806.8006016000008</v>
      </c>
      <c r="O123">
        <f t="shared" si="14"/>
        <v>3.6732605145289553E-2</v>
      </c>
      <c r="P123" t="s">
        <v>39</v>
      </c>
      <c r="Q123">
        <f t="shared" si="15"/>
        <v>0.5763937784036357</v>
      </c>
      <c r="R123">
        <f t="shared" si="16"/>
        <v>36020</v>
      </c>
      <c r="S123">
        <f t="shared" si="17"/>
        <v>36020</v>
      </c>
      <c r="T123">
        <v>36020</v>
      </c>
      <c r="U123">
        <f t="shared" si="18"/>
        <v>0</v>
      </c>
      <c r="V123">
        <v>1</v>
      </c>
      <c r="W123">
        <v>0.22500000000000001</v>
      </c>
      <c r="X123">
        <f t="shared" si="19"/>
        <v>8104.5</v>
      </c>
      <c r="Y123">
        <f t="shared" si="20"/>
        <v>8104.5</v>
      </c>
      <c r="Z123">
        <f t="shared" si="21"/>
        <v>0</v>
      </c>
      <c r="AB123" t="s">
        <v>40</v>
      </c>
    </row>
    <row r="124" spans="1:28" x14ac:dyDescent="0.25">
      <c r="A124" t="s">
        <v>106</v>
      </c>
      <c r="D124" t="s">
        <v>160</v>
      </c>
      <c r="E124" t="s">
        <v>36</v>
      </c>
      <c r="F124">
        <v>95626</v>
      </c>
      <c r="G124">
        <v>95626</v>
      </c>
      <c r="H124">
        <v>1</v>
      </c>
      <c r="I124">
        <f t="shared" si="11"/>
        <v>0</v>
      </c>
      <c r="J124">
        <v>0.42</v>
      </c>
      <c r="K124">
        <f t="shared" si="12"/>
        <v>40162.92</v>
      </c>
      <c r="L124" t="s">
        <v>37</v>
      </c>
      <c r="M124" t="s">
        <v>38</v>
      </c>
      <c r="N124">
        <f t="shared" si="13"/>
        <v>11946.0589248</v>
      </c>
      <c r="O124">
        <f t="shared" si="14"/>
        <v>3.8333721765380697E-2</v>
      </c>
      <c r="P124" t="s">
        <v>39</v>
      </c>
      <c r="Q124">
        <f t="shared" si="15"/>
        <v>0.57735343944115614</v>
      </c>
      <c r="R124">
        <f t="shared" si="16"/>
        <v>55210</v>
      </c>
      <c r="S124">
        <f t="shared" si="17"/>
        <v>55210</v>
      </c>
      <c r="T124">
        <v>55210</v>
      </c>
      <c r="U124">
        <f t="shared" si="18"/>
        <v>0</v>
      </c>
      <c r="V124">
        <v>1</v>
      </c>
      <c r="W124">
        <v>0.22500000000000001</v>
      </c>
      <c r="X124">
        <f t="shared" si="19"/>
        <v>12422.25</v>
      </c>
      <c r="Y124">
        <f t="shared" si="20"/>
        <v>12422.25</v>
      </c>
      <c r="Z124">
        <f t="shared" si="21"/>
        <v>0</v>
      </c>
      <c r="AB124" t="s">
        <v>40</v>
      </c>
    </row>
    <row r="125" spans="1:28" x14ac:dyDescent="0.25">
      <c r="A125" t="s">
        <v>106</v>
      </c>
      <c r="D125" t="s">
        <v>161</v>
      </c>
      <c r="E125" t="s">
        <v>36</v>
      </c>
      <c r="F125">
        <v>62492</v>
      </c>
      <c r="G125">
        <v>62492</v>
      </c>
      <c r="H125">
        <v>1</v>
      </c>
      <c r="I125">
        <f t="shared" si="11"/>
        <v>0</v>
      </c>
      <c r="J125">
        <v>0.42</v>
      </c>
      <c r="K125">
        <f t="shared" si="12"/>
        <v>26246.639999999999</v>
      </c>
      <c r="L125" t="s">
        <v>37</v>
      </c>
      <c r="M125" t="s">
        <v>38</v>
      </c>
      <c r="N125">
        <f t="shared" si="13"/>
        <v>7806.8006016000008</v>
      </c>
      <c r="O125">
        <f t="shared" si="14"/>
        <v>3.6732605145289553E-2</v>
      </c>
      <c r="P125" t="s">
        <v>39</v>
      </c>
      <c r="Q125">
        <f t="shared" si="15"/>
        <v>0.5763937784036357</v>
      </c>
      <c r="R125">
        <f t="shared" si="16"/>
        <v>36020</v>
      </c>
      <c r="S125">
        <f t="shared" si="17"/>
        <v>36020</v>
      </c>
      <c r="T125">
        <v>36020</v>
      </c>
      <c r="U125">
        <f t="shared" si="18"/>
        <v>0</v>
      </c>
      <c r="V125">
        <v>1</v>
      </c>
      <c r="W125">
        <v>0.22500000000000001</v>
      </c>
      <c r="X125">
        <f t="shared" si="19"/>
        <v>8104.5</v>
      </c>
      <c r="Y125">
        <f t="shared" si="20"/>
        <v>8104.5</v>
      </c>
      <c r="Z125">
        <f t="shared" si="21"/>
        <v>0</v>
      </c>
      <c r="AB125" t="s">
        <v>40</v>
      </c>
    </row>
    <row r="126" spans="1:28" x14ac:dyDescent="0.25">
      <c r="A126" t="s">
        <v>106</v>
      </c>
      <c r="D126" t="s">
        <v>162</v>
      </c>
      <c r="E126" t="s">
        <v>36</v>
      </c>
      <c r="F126">
        <v>95626</v>
      </c>
      <c r="G126">
        <v>95626</v>
      </c>
      <c r="H126">
        <v>1</v>
      </c>
      <c r="I126">
        <f t="shared" si="11"/>
        <v>0</v>
      </c>
      <c r="J126">
        <v>0.42</v>
      </c>
      <c r="K126">
        <f t="shared" si="12"/>
        <v>40162.92</v>
      </c>
      <c r="L126" t="s">
        <v>37</v>
      </c>
      <c r="M126" t="s">
        <v>38</v>
      </c>
      <c r="N126">
        <f t="shared" si="13"/>
        <v>11946.0589248</v>
      </c>
      <c r="O126">
        <f t="shared" si="14"/>
        <v>3.8333721765380697E-2</v>
      </c>
      <c r="P126" t="s">
        <v>39</v>
      </c>
      <c r="Q126">
        <f t="shared" si="15"/>
        <v>0.57735343944115614</v>
      </c>
      <c r="R126">
        <f t="shared" si="16"/>
        <v>55210</v>
      </c>
      <c r="S126">
        <f t="shared" si="17"/>
        <v>55210</v>
      </c>
      <c r="T126">
        <v>55210</v>
      </c>
      <c r="U126">
        <f t="shared" si="18"/>
        <v>0</v>
      </c>
      <c r="V126">
        <v>1</v>
      </c>
      <c r="W126">
        <v>0.22500000000000001</v>
      </c>
      <c r="X126">
        <f t="shared" si="19"/>
        <v>12422.25</v>
      </c>
      <c r="Y126">
        <f t="shared" si="20"/>
        <v>12422.25</v>
      </c>
      <c r="Z126">
        <f t="shared" si="21"/>
        <v>0</v>
      </c>
      <c r="AB126" t="s">
        <v>40</v>
      </c>
    </row>
    <row r="127" spans="1:28" x14ac:dyDescent="0.25">
      <c r="A127" t="s">
        <v>106</v>
      </c>
      <c r="D127" t="s">
        <v>163</v>
      </c>
      <c r="E127" t="s">
        <v>36</v>
      </c>
      <c r="F127">
        <v>65184</v>
      </c>
      <c r="G127">
        <v>65184</v>
      </c>
      <c r="H127">
        <v>1</v>
      </c>
      <c r="I127">
        <f t="shared" si="11"/>
        <v>0</v>
      </c>
      <c r="J127">
        <v>0.42</v>
      </c>
      <c r="K127">
        <f t="shared" si="12"/>
        <v>27377.279999999999</v>
      </c>
      <c r="L127" t="s">
        <v>37</v>
      </c>
      <c r="M127" t="s">
        <v>38</v>
      </c>
      <c r="N127">
        <f t="shared" si="13"/>
        <v>8143.0981632000012</v>
      </c>
      <c r="O127">
        <f t="shared" si="14"/>
        <v>3.5920421097495867E-2</v>
      </c>
      <c r="P127" t="s">
        <v>39</v>
      </c>
      <c r="Q127">
        <f t="shared" si="15"/>
        <v>0.5759081983308787</v>
      </c>
      <c r="R127">
        <f t="shared" si="16"/>
        <v>37540</v>
      </c>
      <c r="S127">
        <f t="shared" si="17"/>
        <v>37540</v>
      </c>
      <c r="T127">
        <v>37540</v>
      </c>
      <c r="U127">
        <f t="shared" si="18"/>
        <v>0</v>
      </c>
      <c r="V127">
        <v>1</v>
      </c>
      <c r="W127">
        <v>0.22500000000000001</v>
      </c>
      <c r="X127">
        <f t="shared" si="19"/>
        <v>8446.5</v>
      </c>
      <c r="Y127">
        <f t="shared" si="20"/>
        <v>8446.5</v>
      </c>
      <c r="Z127">
        <f t="shared" si="21"/>
        <v>0</v>
      </c>
      <c r="AB127" t="s">
        <v>40</v>
      </c>
    </row>
    <row r="128" spans="1:28" x14ac:dyDescent="0.25">
      <c r="A128" t="s">
        <v>106</v>
      </c>
      <c r="D128" t="s">
        <v>164</v>
      </c>
      <c r="E128" t="s">
        <v>36</v>
      </c>
      <c r="F128">
        <v>98895</v>
      </c>
      <c r="G128">
        <v>98895</v>
      </c>
      <c r="H128">
        <v>1</v>
      </c>
      <c r="I128">
        <f t="shared" si="11"/>
        <v>0</v>
      </c>
      <c r="J128">
        <v>0.42</v>
      </c>
      <c r="K128">
        <f t="shared" si="12"/>
        <v>41535.9</v>
      </c>
      <c r="L128" t="s">
        <v>37</v>
      </c>
      <c r="M128" t="s">
        <v>38</v>
      </c>
      <c r="N128">
        <f t="shared" si="13"/>
        <v>12354.438096000003</v>
      </c>
      <c r="O128">
        <f t="shared" si="14"/>
        <v>3.6014505617977116E-2</v>
      </c>
      <c r="P128" t="s">
        <v>39</v>
      </c>
      <c r="Q128">
        <f t="shared" si="15"/>
        <v>0.57596440669396831</v>
      </c>
      <c r="R128">
        <f t="shared" si="16"/>
        <v>56959.999999999993</v>
      </c>
      <c r="S128">
        <f t="shared" si="17"/>
        <v>56959.999999999993</v>
      </c>
      <c r="T128">
        <v>56960</v>
      </c>
      <c r="U128">
        <f t="shared" si="18"/>
        <v>1.2773801991192813E-16</v>
      </c>
      <c r="V128">
        <v>1</v>
      </c>
      <c r="W128">
        <v>0.22500000000000001</v>
      </c>
      <c r="X128">
        <f t="shared" si="19"/>
        <v>12815.999999999998</v>
      </c>
      <c r="Y128">
        <f t="shared" si="20"/>
        <v>12815.999999999998</v>
      </c>
      <c r="Z128">
        <f t="shared" si="21"/>
        <v>0</v>
      </c>
      <c r="AB128" t="s">
        <v>40</v>
      </c>
    </row>
    <row r="129" spans="1:28" x14ac:dyDescent="0.25">
      <c r="A129" t="s">
        <v>106</v>
      </c>
      <c r="D129" t="s">
        <v>165</v>
      </c>
      <c r="E129" t="s">
        <v>36</v>
      </c>
      <c r="F129">
        <v>65184</v>
      </c>
      <c r="G129">
        <v>65184</v>
      </c>
      <c r="H129">
        <v>1</v>
      </c>
      <c r="I129">
        <f t="shared" si="11"/>
        <v>0</v>
      </c>
      <c r="J129">
        <v>0.42</v>
      </c>
      <c r="K129">
        <f t="shared" si="12"/>
        <v>27377.279999999999</v>
      </c>
      <c r="L129" t="s">
        <v>37</v>
      </c>
      <c r="M129" t="s">
        <v>38</v>
      </c>
      <c r="N129">
        <f t="shared" si="13"/>
        <v>8143.0981632000012</v>
      </c>
      <c r="O129">
        <f t="shared" si="14"/>
        <v>3.5920421097495867E-2</v>
      </c>
      <c r="P129" t="s">
        <v>39</v>
      </c>
      <c r="Q129">
        <f t="shared" si="15"/>
        <v>0.5759081983308787</v>
      </c>
      <c r="R129">
        <f t="shared" si="16"/>
        <v>37540</v>
      </c>
      <c r="S129">
        <f t="shared" si="17"/>
        <v>37540</v>
      </c>
      <c r="T129">
        <v>37540</v>
      </c>
      <c r="U129">
        <f t="shared" si="18"/>
        <v>0</v>
      </c>
      <c r="V129">
        <v>1</v>
      </c>
      <c r="W129">
        <v>0.22500000000000001</v>
      </c>
      <c r="X129">
        <f t="shared" si="19"/>
        <v>8446.5</v>
      </c>
      <c r="Y129">
        <f t="shared" si="20"/>
        <v>8446.5</v>
      </c>
      <c r="Z129">
        <f t="shared" si="21"/>
        <v>0</v>
      </c>
      <c r="AB129" t="s">
        <v>40</v>
      </c>
    </row>
    <row r="130" spans="1:28" x14ac:dyDescent="0.25">
      <c r="A130" t="s">
        <v>106</v>
      </c>
      <c r="D130" t="s">
        <v>166</v>
      </c>
      <c r="E130" t="s">
        <v>36</v>
      </c>
      <c r="F130">
        <v>98895</v>
      </c>
      <c r="G130">
        <v>98895</v>
      </c>
      <c r="H130">
        <v>1</v>
      </c>
      <c r="I130">
        <f t="shared" si="11"/>
        <v>0</v>
      </c>
      <c r="J130">
        <v>0.42</v>
      </c>
      <c r="K130">
        <f t="shared" si="12"/>
        <v>41535.9</v>
      </c>
      <c r="L130" t="s">
        <v>37</v>
      </c>
      <c r="M130" t="s">
        <v>38</v>
      </c>
      <c r="N130">
        <f t="shared" si="13"/>
        <v>12354.438096000003</v>
      </c>
      <c r="O130">
        <f t="shared" si="14"/>
        <v>3.6014505617977116E-2</v>
      </c>
      <c r="P130" t="s">
        <v>39</v>
      </c>
      <c r="Q130">
        <f t="shared" si="15"/>
        <v>0.57596440669396831</v>
      </c>
      <c r="R130">
        <f t="shared" si="16"/>
        <v>56959.999999999993</v>
      </c>
      <c r="S130">
        <f t="shared" si="17"/>
        <v>56959.999999999993</v>
      </c>
      <c r="T130">
        <v>56960</v>
      </c>
      <c r="U130">
        <f t="shared" si="18"/>
        <v>1.2773801991192813E-16</v>
      </c>
      <c r="V130">
        <v>1</v>
      </c>
      <c r="W130">
        <v>0.22500000000000001</v>
      </c>
      <c r="X130">
        <f t="shared" si="19"/>
        <v>12815.999999999998</v>
      </c>
      <c r="Y130">
        <f t="shared" si="20"/>
        <v>12815.999999999998</v>
      </c>
      <c r="Z130">
        <f t="shared" si="21"/>
        <v>0</v>
      </c>
      <c r="AB130" t="s">
        <v>40</v>
      </c>
    </row>
    <row r="131" spans="1:28" x14ac:dyDescent="0.25">
      <c r="A131" t="s">
        <v>106</v>
      </c>
      <c r="D131" t="s">
        <v>167</v>
      </c>
      <c r="E131" t="s">
        <v>36</v>
      </c>
      <c r="F131">
        <v>77299</v>
      </c>
      <c r="G131">
        <v>77299</v>
      </c>
      <c r="H131">
        <v>1</v>
      </c>
      <c r="I131">
        <f t="shared" si="11"/>
        <v>0</v>
      </c>
      <c r="J131">
        <v>0.42</v>
      </c>
      <c r="K131">
        <f t="shared" si="12"/>
        <v>32465.579999999998</v>
      </c>
      <c r="L131" t="s">
        <v>37</v>
      </c>
      <c r="M131" t="s">
        <v>38</v>
      </c>
      <c r="N131">
        <f t="shared" si="13"/>
        <v>9656.5621152000003</v>
      </c>
      <c r="O131">
        <f t="shared" si="14"/>
        <v>3.8574062604539994E-2</v>
      </c>
      <c r="P131" t="s">
        <v>39</v>
      </c>
      <c r="Q131">
        <f t="shared" si="15"/>
        <v>0.5774977684058008</v>
      </c>
      <c r="R131">
        <f t="shared" si="16"/>
        <v>44640</v>
      </c>
      <c r="S131">
        <f t="shared" si="17"/>
        <v>44640</v>
      </c>
      <c r="T131">
        <v>44640</v>
      </c>
      <c r="U131">
        <f t="shared" si="18"/>
        <v>0</v>
      </c>
      <c r="V131">
        <v>1</v>
      </c>
      <c r="W131">
        <v>0.22500000000000001</v>
      </c>
      <c r="X131">
        <f t="shared" si="19"/>
        <v>10044</v>
      </c>
      <c r="Y131">
        <f t="shared" si="20"/>
        <v>10044</v>
      </c>
      <c r="Z131">
        <f t="shared" si="21"/>
        <v>0</v>
      </c>
      <c r="AB131" t="s">
        <v>40</v>
      </c>
    </row>
    <row r="132" spans="1:28" x14ac:dyDescent="0.25">
      <c r="A132" t="s">
        <v>106</v>
      </c>
      <c r="D132" t="s">
        <v>168</v>
      </c>
      <c r="E132" t="s">
        <v>36</v>
      </c>
      <c r="F132">
        <v>108895</v>
      </c>
      <c r="G132">
        <v>108895</v>
      </c>
      <c r="H132">
        <v>1</v>
      </c>
      <c r="I132">
        <f t="shared" si="11"/>
        <v>0</v>
      </c>
      <c r="J132">
        <v>0.42</v>
      </c>
      <c r="K132">
        <f t="shared" si="12"/>
        <v>45735.9</v>
      </c>
      <c r="L132" t="s">
        <v>37</v>
      </c>
      <c r="M132" t="s">
        <v>38</v>
      </c>
      <c r="N132">
        <f t="shared" si="13"/>
        <v>13603.686096000001</v>
      </c>
      <c r="O132">
        <f t="shared" si="14"/>
        <v>3.8778583571806885E-2</v>
      </c>
      <c r="P132" t="s">
        <v>39</v>
      </c>
      <c r="Q132">
        <f t="shared" si="15"/>
        <v>0.57762064373938193</v>
      </c>
      <c r="R132">
        <f t="shared" si="16"/>
        <v>62899.999999999993</v>
      </c>
      <c r="S132">
        <f t="shared" si="17"/>
        <v>62899.999999999993</v>
      </c>
      <c r="T132">
        <v>62900</v>
      </c>
      <c r="U132">
        <f t="shared" si="18"/>
        <v>1.1567500181531681E-16</v>
      </c>
      <c r="V132">
        <v>1</v>
      </c>
      <c r="W132">
        <v>0.22500000000000001</v>
      </c>
      <c r="X132">
        <f t="shared" si="19"/>
        <v>14152.499999999998</v>
      </c>
      <c r="Y132">
        <f t="shared" si="20"/>
        <v>14152.499999999998</v>
      </c>
      <c r="Z132">
        <f t="shared" si="21"/>
        <v>0</v>
      </c>
      <c r="AB132" t="s">
        <v>40</v>
      </c>
    </row>
    <row r="133" spans="1:28" x14ac:dyDescent="0.25">
      <c r="A133" t="s">
        <v>106</v>
      </c>
      <c r="D133" t="s">
        <v>169</v>
      </c>
      <c r="E133" t="s">
        <v>36</v>
      </c>
      <c r="F133">
        <v>92107</v>
      </c>
      <c r="G133">
        <v>92107</v>
      </c>
      <c r="H133">
        <v>1</v>
      </c>
      <c r="I133">
        <f t="shared" ref="I133:I196" si="22">(G133-F133)/F133</f>
        <v>0</v>
      </c>
      <c r="J133">
        <v>0.42</v>
      </c>
      <c r="K133">
        <f t="shared" ref="K133:K196" si="23">F133*H133*J133</f>
        <v>38684.939999999995</v>
      </c>
      <c r="L133" t="s">
        <v>37</v>
      </c>
      <c r="M133" t="s">
        <v>38</v>
      </c>
      <c r="N133">
        <f t="shared" ref="N133:N196" si="24">K133*$N$2*$O$2</f>
        <v>11506.448553600001</v>
      </c>
      <c r="O133">
        <f t="shared" ref="O133:O196" si="25">(X133-N133)/X133</f>
        <v>3.8545377903114526E-2</v>
      </c>
      <c r="P133" t="s">
        <v>39</v>
      </c>
      <c r="Q133">
        <f t="shared" ref="Q133:Q196" si="26">T133/F133</f>
        <v>0.57748053893840856</v>
      </c>
      <c r="R133">
        <f t="shared" ref="R133:R196" si="27">F133*Q133</f>
        <v>53190</v>
      </c>
      <c r="S133">
        <f t="shared" ref="S133:S196" si="28">G133*Q133</f>
        <v>53190</v>
      </c>
      <c r="T133">
        <v>53190</v>
      </c>
      <c r="U133">
        <f t="shared" ref="U133:U196" si="29">(T133-R133)/R133</f>
        <v>0</v>
      </c>
      <c r="V133">
        <v>1</v>
      </c>
      <c r="W133">
        <v>0.22500000000000001</v>
      </c>
      <c r="X133">
        <f t="shared" ref="X133:X196" si="30">R133*V133*W133</f>
        <v>11967.75</v>
      </c>
      <c r="Y133">
        <f t="shared" ref="Y133:Y196" si="31">S133*W133*V133</f>
        <v>11967.75</v>
      </c>
      <c r="Z133">
        <f t="shared" ref="Z133:Z196" si="32">(Y133-X133)/X133</f>
        <v>0</v>
      </c>
      <c r="AB133" t="s">
        <v>40</v>
      </c>
    </row>
    <row r="134" spans="1:28" x14ac:dyDescent="0.25">
      <c r="A134" t="s">
        <v>106</v>
      </c>
      <c r="D134" t="s">
        <v>170</v>
      </c>
      <c r="E134" t="s">
        <v>36</v>
      </c>
      <c r="F134">
        <v>123703</v>
      </c>
      <c r="G134">
        <v>123703</v>
      </c>
      <c r="H134">
        <v>1</v>
      </c>
      <c r="I134">
        <f t="shared" si="22"/>
        <v>0</v>
      </c>
      <c r="J134">
        <v>0.42</v>
      </c>
      <c r="K134">
        <f t="shared" si="23"/>
        <v>51955.259999999995</v>
      </c>
      <c r="L134" t="s">
        <v>37</v>
      </c>
      <c r="M134" t="s">
        <v>38</v>
      </c>
      <c r="N134">
        <f t="shared" si="24"/>
        <v>15453.5725344</v>
      </c>
      <c r="O134">
        <f t="shared" si="25"/>
        <v>3.7655252944748016E-2</v>
      </c>
      <c r="P134" t="s">
        <v>39</v>
      </c>
      <c r="Q134">
        <f t="shared" si="26"/>
        <v>0.57694639580285034</v>
      </c>
      <c r="R134">
        <f t="shared" si="27"/>
        <v>71370</v>
      </c>
      <c r="S134">
        <f t="shared" si="28"/>
        <v>71370</v>
      </c>
      <c r="T134">
        <v>71370</v>
      </c>
      <c r="U134">
        <f t="shared" si="29"/>
        <v>0</v>
      </c>
      <c r="V134">
        <v>1</v>
      </c>
      <c r="W134">
        <v>0.22500000000000001</v>
      </c>
      <c r="X134">
        <f t="shared" si="30"/>
        <v>16058.25</v>
      </c>
      <c r="Y134">
        <f t="shared" si="31"/>
        <v>16058.25</v>
      </c>
      <c r="Z134">
        <f t="shared" si="32"/>
        <v>0</v>
      </c>
      <c r="AB134" t="s">
        <v>40</v>
      </c>
    </row>
    <row r="135" spans="1:28" x14ac:dyDescent="0.25">
      <c r="A135" t="s">
        <v>106</v>
      </c>
      <c r="D135" t="s">
        <v>171</v>
      </c>
      <c r="E135" t="s">
        <v>36</v>
      </c>
      <c r="F135">
        <v>92107</v>
      </c>
      <c r="G135">
        <v>92107</v>
      </c>
      <c r="H135">
        <v>1</v>
      </c>
      <c r="I135">
        <f t="shared" si="22"/>
        <v>0</v>
      </c>
      <c r="J135">
        <v>0.42</v>
      </c>
      <c r="K135">
        <f t="shared" si="23"/>
        <v>38684.939999999995</v>
      </c>
      <c r="L135" t="s">
        <v>37</v>
      </c>
      <c r="M135" t="s">
        <v>38</v>
      </c>
      <c r="N135">
        <f t="shared" si="24"/>
        <v>11506.448553600001</v>
      </c>
      <c r="O135">
        <f t="shared" si="25"/>
        <v>3.8545377903114526E-2</v>
      </c>
      <c r="P135" t="s">
        <v>39</v>
      </c>
      <c r="Q135">
        <f t="shared" si="26"/>
        <v>0.57748053893840856</v>
      </c>
      <c r="R135">
        <f t="shared" si="27"/>
        <v>53190</v>
      </c>
      <c r="S135">
        <f t="shared" si="28"/>
        <v>53190</v>
      </c>
      <c r="T135">
        <v>53190</v>
      </c>
      <c r="U135">
        <f t="shared" si="29"/>
        <v>0</v>
      </c>
      <c r="V135">
        <v>1</v>
      </c>
      <c r="W135">
        <v>0.22500000000000001</v>
      </c>
      <c r="X135">
        <f t="shared" si="30"/>
        <v>11967.75</v>
      </c>
      <c r="Y135">
        <f t="shared" si="31"/>
        <v>11967.75</v>
      </c>
      <c r="Z135">
        <f t="shared" si="32"/>
        <v>0</v>
      </c>
      <c r="AB135" t="s">
        <v>40</v>
      </c>
    </row>
    <row r="136" spans="1:28" x14ac:dyDescent="0.25">
      <c r="A136" t="s">
        <v>106</v>
      </c>
      <c r="D136" t="s">
        <v>172</v>
      </c>
      <c r="E136" t="s">
        <v>36</v>
      </c>
      <c r="F136">
        <v>123703</v>
      </c>
      <c r="G136">
        <v>123703</v>
      </c>
      <c r="H136">
        <v>1</v>
      </c>
      <c r="I136">
        <f t="shared" si="22"/>
        <v>0</v>
      </c>
      <c r="J136">
        <v>0.42</v>
      </c>
      <c r="K136">
        <f t="shared" si="23"/>
        <v>51955.259999999995</v>
      </c>
      <c r="L136" t="s">
        <v>37</v>
      </c>
      <c r="M136" t="s">
        <v>38</v>
      </c>
      <c r="N136">
        <f t="shared" si="24"/>
        <v>15453.5725344</v>
      </c>
      <c r="O136">
        <f t="shared" si="25"/>
        <v>3.7655252944748016E-2</v>
      </c>
      <c r="P136" t="s">
        <v>39</v>
      </c>
      <c r="Q136">
        <f t="shared" si="26"/>
        <v>0.57694639580285034</v>
      </c>
      <c r="R136">
        <f t="shared" si="27"/>
        <v>71370</v>
      </c>
      <c r="S136">
        <f t="shared" si="28"/>
        <v>71370</v>
      </c>
      <c r="T136">
        <v>71370</v>
      </c>
      <c r="U136">
        <f t="shared" si="29"/>
        <v>0</v>
      </c>
      <c r="V136">
        <v>1</v>
      </c>
      <c r="W136">
        <v>0.22500000000000001</v>
      </c>
      <c r="X136">
        <f t="shared" si="30"/>
        <v>16058.25</v>
      </c>
      <c r="Y136">
        <f t="shared" si="31"/>
        <v>16058.25</v>
      </c>
      <c r="Z136">
        <f t="shared" si="32"/>
        <v>0</v>
      </c>
      <c r="AB136" t="s">
        <v>40</v>
      </c>
    </row>
    <row r="137" spans="1:28" x14ac:dyDescent="0.25">
      <c r="A137" t="s">
        <v>106</v>
      </c>
      <c r="D137" t="s">
        <v>173</v>
      </c>
      <c r="E137" t="s">
        <v>36</v>
      </c>
      <c r="F137">
        <v>39242</v>
      </c>
      <c r="G137">
        <v>39242</v>
      </c>
      <c r="H137">
        <v>1</v>
      </c>
      <c r="I137">
        <f t="shared" si="22"/>
        <v>0</v>
      </c>
      <c r="J137">
        <v>0.42</v>
      </c>
      <c r="K137">
        <f t="shared" si="23"/>
        <v>16481.64</v>
      </c>
      <c r="L137" t="s">
        <v>37</v>
      </c>
      <c r="M137" t="s">
        <v>38</v>
      </c>
      <c r="N137">
        <f t="shared" si="24"/>
        <v>4902.2990016000012</v>
      </c>
      <c r="O137">
        <f t="shared" si="25"/>
        <v>4.2706697598125121E-2</v>
      </c>
      <c r="P137" t="s">
        <v>39</v>
      </c>
      <c r="Q137">
        <f t="shared" si="26"/>
        <v>0.57999082615564956</v>
      </c>
      <c r="R137">
        <f t="shared" si="27"/>
        <v>22760</v>
      </c>
      <c r="S137">
        <f t="shared" si="28"/>
        <v>22760</v>
      </c>
      <c r="T137">
        <v>22760</v>
      </c>
      <c r="U137">
        <f t="shared" si="29"/>
        <v>0</v>
      </c>
      <c r="V137">
        <v>1</v>
      </c>
      <c r="W137">
        <v>0.22500000000000001</v>
      </c>
      <c r="X137">
        <f t="shared" si="30"/>
        <v>5121</v>
      </c>
      <c r="Y137">
        <f t="shared" si="31"/>
        <v>5121</v>
      </c>
      <c r="Z137">
        <f t="shared" si="32"/>
        <v>0</v>
      </c>
      <c r="AB137" t="s">
        <v>40</v>
      </c>
    </row>
    <row r="138" spans="1:28" x14ac:dyDescent="0.25">
      <c r="A138" t="s">
        <v>106</v>
      </c>
      <c r="D138" t="s">
        <v>174</v>
      </c>
      <c r="E138" t="s">
        <v>36</v>
      </c>
      <c r="F138">
        <v>65838</v>
      </c>
      <c r="G138">
        <v>65838</v>
      </c>
      <c r="H138">
        <v>1</v>
      </c>
      <c r="I138">
        <f t="shared" si="22"/>
        <v>0</v>
      </c>
      <c r="J138">
        <v>0.42</v>
      </c>
      <c r="K138">
        <f t="shared" si="23"/>
        <v>27651.96</v>
      </c>
      <c r="L138" t="s">
        <v>37</v>
      </c>
      <c r="M138" t="s">
        <v>38</v>
      </c>
      <c r="N138">
        <f t="shared" si="24"/>
        <v>8224.7989824000015</v>
      </c>
      <c r="O138">
        <f t="shared" si="25"/>
        <v>3.9299286622864478E-2</v>
      </c>
      <c r="P138" t="s">
        <v>39</v>
      </c>
      <c r="Q138">
        <f t="shared" si="26"/>
        <v>0.5779337160910113</v>
      </c>
      <c r="R138">
        <f t="shared" si="27"/>
        <v>38050</v>
      </c>
      <c r="S138">
        <f t="shared" si="28"/>
        <v>38050</v>
      </c>
      <c r="T138">
        <v>38050</v>
      </c>
      <c r="U138">
        <f t="shared" si="29"/>
        <v>0</v>
      </c>
      <c r="V138">
        <v>1</v>
      </c>
      <c r="W138">
        <v>0.22500000000000001</v>
      </c>
      <c r="X138">
        <f t="shared" si="30"/>
        <v>8561.25</v>
      </c>
      <c r="Y138">
        <f t="shared" si="31"/>
        <v>8561.25</v>
      </c>
      <c r="Z138">
        <f t="shared" si="32"/>
        <v>0</v>
      </c>
      <c r="AB138" t="s">
        <v>40</v>
      </c>
    </row>
    <row r="139" spans="1:28" x14ac:dyDescent="0.25">
      <c r="A139" t="s">
        <v>106</v>
      </c>
      <c r="D139" t="s">
        <v>175</v>
      </c>
      <c r="E139" t="s">
        <v>36</v>
      </c>
      <c r="F139">
        <v>37895</v>
      </c>
      <c r="G139">
        <v>37895</v>
      </c>
      <c r="H139">
        <v>1</v>
      </c>
      <c r="I139">
        <f t="shared" si="22"/>
        <v>0</v>
      </c>
      <c r="J139">
        <v>0.42</v>
      </c>
      <c r="K139">
        <f t="shared" si="23"/>
        <v>15915.9</v>
      </c>
      <c r="L139" t="s">
        <v>37</v>
      </c>
      <c r="M139" t="s">
        <v>38</v>
      </c>
      <c r="N139">
        <f t="shared" si="24"/>
        <v>4734.0252959999998</v>
      </c>
      <c r="O139">
        <f t="shared" si="25"/>
        <v>3.88253802345059E-2</v>
      </c>
      <c r="P139" t="s">
        <v>39</v>
      </c>
      <c r="Q139">
        <f t="shared" si="26"/>
        <v>0.57764876632801165</v>
      </c>
      <c r="R139">
        <f t="shared" si="27"/>
        <v>21890</v>
      </c>
      <c r="S139">
        <f t="shared" si="28"/>
        <v>21890</v>
      </c>
      <c r="T139">
        <v>21890</v>
      </c>
      <c r="U139">
        <f t="shared" si="29"/>
        <v>0</v>
      </c>
      <c r="V139">
        <v>1</v>
      </c>
      <c r="W139">
        <v>0.22500000000000001</v>
      </c>
      <c r="X139">
        <f t="shared" si="30"/>
        <v>4925.25</v>
      </c>
      <c r="Y139">
        <f t="shared" si="31"/>
        <v>4925.25</v>
      </c>
      <c r="Z139">
        <f t="shared" si="32"/>
        <v>0</v>
      </c>
      <c r="AB139" t="s">
        <v>40</v>
      </c>
    </row>
    <row r="140" spans="1:28" x14ac:dyDescent="0.25">
      <c r="A140" t="s">
        <v>106</v>
      </c>
      <c r="D140" t="s">
        <v>176</v>
      </c>
      <c r="E140" t="s">
        <v>36</v>
      </c>
      <c r="F140">
        <v>64299</v>
      </c>
      <c r="G140">
        <v>64299</v>
      </c>
      <c r="H140">
        <v>1</v>
      </c>
      <c r="I140">
        <f t="shared" si="22"/>
        <v>0</v>
      </c>
      <c r="J140">
        <v>0.42</v>
      </c>
      <c r="K140">
        <f t="shared" si="23"/>
        <v>27005.579999999998</v>
      </c>
      <c r="L140" t="s">
        <v>37</v>
      </c>
      <c r="M140" t="s">
        <v>38</v>
      </c>
      <c r="N140">
        <f t="shared" si="24"/>
        <v>8032.5397152000014</v>
      </c>
      <c r="O140">
        <f t="shared" si="25"/>
        <v>3.9543273822975351E-2</v>
      </c>
      <c r="P140" t="s">
        <v>39</v>
      </c>
      <c r="Q140">
        <f t="shared" si="26"/>
        <v>0.57808053002379511</v>
      </c>
      <c r="R140">
        <f t="shared" si="27"/>
        <v>37170</v>
      </c>
      <c r="S140">
        <f t="shared" si="28"/>
        <v>37170</v>
      </c>
      <c r="T140">
        <v>37170</v>
      </c>
      <c r="U140">
        <f t="shared" si="29"/>
        <v>0</v>
      </c>
      <c r="V140">
        <v>1</v>
      </c>
      <c r="W140">
        <v>0.22500000000000001</v>
      </c>
      <c r="X140">
        <f t="shared" si="30"/>
        <v>8363.25</v>
      </c>
      <c r="Y140">
        <f t="shared" si="31"/>
        <v>8363.25</v>
      </c>
      <c r="Z140">
        <f t="shared" si="32"/>
        <v>0</v>
      </c>
      <c r="AB140" t="s">
        <v>40</v>
      </c>
    </row>
    <row r="141" spans="1:28" x14ac:dyDescent="0.25">
      <c r="A141" t="s">
        <v>106</v>
      </c>
      <c r="D141" t="s">
        <v>177</v>
      </c>
      <c r="E141" t="s">
        <v>36</v>
      </c>
      <c r="F141">
        <v>37895</v>
      </c>
      <c r="G141">
        <v>37895</v>
      </c>
      <c r="H141">
        <v>1</v>
      </c>
      <c r="I141">
        <f t="shared" si="22"/>
        <v>0</v>
      </c>
      <c r="J141">
        <v>0.42</v>
      </c>
      <c r="K141">
        <f t="shared" si="23"/>
        <v>15915.9</v>
      </c>
      <c r="L141" t="s">
        <v>37</v>
      </c>
      <c r="M141" t="s">
        <v>38</v>
      </c>
      <c r="N141">
        <f t="shared" si="24"/>
        <v>4734.0252959999998</v>
      </c>
      <c r="O141">
        <f t="shared" si="25"/>
        <v>3.88253802345059E-2</v>
      </c>
      <c r="P141" t="s">
        <v>39</v>
      </c>
      <c r="Q141">
        <f t="shared" si="26"/>
        <v>0.57764876632801165</v>
      </c>
      <c r="R141">
        <f t="shared" si="27"/>
        <v>21890</v>
      </c>
      <c r="S141">
        <f t="shared" si="28"/>
        <v>21890</v>
      </c>
      <c r="T141">
        <v>21890</v>
      </c>
      <c r="U141">
        <f t="shared" si="29"/>
        <v>0</v>
      </c>
      <c r="V141">
        <v>1</v>
      </c>
      <c r="W141">
        <v>0.22500000000000001</v>
      </c>
      <c r="X141">
        <f t="shared" si="30"/>
        <v>4925.25</v>
      </c>
      <c r="Y141">
        <f t="shared" si="31"/>
        <v>4925.25</v>
      </c>
      <c r="Z141">
        <f t="shared" si="32"/>
        <v>0</v>
      </c>
      <c r="AB141" t="s">
        <v>40</v>
      </c>
    </row>
    <row r="142" spans="1:28" x14ac:dyDescent="0.25">
      <c r="A142" t="s">
        <v>106</v>
      </c>
      <c r="D142" t="s">
        <v>178</v>
      </c>
      <c r="E142" t="s">
        <v>36</v>
      </c>
      <c r="F142">
        <v>64299</v>
      </c>
      <c r="G142">
        <v>64299</v>
      </c>
      <c r="H142">
        <v>1</v>
      </c>
      <c r="I142">
        <f t="shared" si="22"/>
        <v>0</v>
      </c>
      <c r="J142">
        <v>0.42</v>
      </c>
      <c r="K142">
        <f t="shared" si="23"/>
        <v>27005.579999999998</v>
      </c>
      <c r="L142" t="s">
        <v>37</v>
      </c>
      <c r="M142" t="s">
        <v>38</v>
      </c>
      <c r="N142">
        <f t="shared" si="24"/>
        <v>8032.5397152000014</v>
      </c>
      <c r="O142">
        <f t="shared" si="25"/>
        <v>3.9543273822975351E-2</v>
      </c>
      <c r="P142" t="s">
        <v>39</v>
      </c>
      <c r="Q142">
        <f t="shared" si="26"/>
        <v>0.57808053002379511</v>
      </c>
      <c r="R142">
        <f t="shared" si="27"/>
        <v>37170</v>
      </c>
      <c r="S142">
        <f t="shared" si="28"/>
        <v>37170</v>
      </c>
      <c r="T142">
        <v>37170</v>
      </c>
      <c r="U142">
        <f t="shared" si="29"/>
        <v>0</v>
      </c>
      <c r="V142">
        <v>1</v>
      </c>
      <c r="W142">
        <v>0.22500000000000001</v>
      </c>
      <c r="X142">
        <f t="shared" si="30"/>
        <v>8363.25</v>
      </c>
      <c r="Y142">
        <f t="shared" si="31"/>
        <v>8363.25</v>
      </c>
      <c r="Z142">
        <f t="shared" si="32"/>
        <v>0</v>
      </c>
      <c r="AB142" t="s">
        <v>40</v>
      </c>
    </row>
    <row r="143" spans="1:28" x14ac:dyDescent="0.25">
      <c r="A143" t="s">
        <v>106</v>
      </c>
      <c r="D143" t="s">
        <v>179</v>
      </c>
      <c r="E143" t="s">
        <v>36</v>
      </c>
      <c r="F143">
        <v>37895</v>
      </c>
      <c r="G143">
        <v>37895</v>
      </c>
      <c r="H143">
        <v>1</v>
      </c>
      <c r="I143">
        <f t="shared" si="22"/>
        <v>0</v>
      </c>
      <c r="J143">
        <v>0.42</v>
      </c>
      <c r="K143">
        <f t="shared" si="23"/>
        <v>15915.9</v>
      </c>
      <c r="L143" t="s">
        <v>37</v>
      </c>
      <c r="M143" t="s">
        <v>38</v>
      </c>
      <c r="N143">
        <f t="shared" si="24"/>
        <v>4734.0252959999998</v>
      </c>
      <c r="O143">
        <f t="shared" si="25"/>
        <v>3.88253802345059E-2</v>
      </c>
      <c r="P143" t="s">
        <v>39</v>
      </c>
      <c r="Q143">
        <f t="shared" si="26"/>
        <v>0.57764876632801165</v>
      </c>
      <c r="R143">
        <f t="shared" si="27"/>
        <v>21890</v>
      </c>
      <c r="S143">
        <f t="shared" si="28"/>
        <v>21890</v>
      </c>
      <c r="T143">
        <v>21890</v>
      </c>
      <c r="U143">
        <f t="shared" si="29"/>
        <v>0</v>
      </c>
      <c r="V143">
        <v>1</v>
      </c>
      <c r="W143">
        <v>0.22500000000000001</v>
      </c>
      <c r="X143">
        <f t="shared" si="30"/>
        <v>4925.25</v>
      </c>
      <c r="Y143">
        <f t="shared" si="31"/>
        <v>4925.25</v>
      </c>
      <c r="Z143">
        <f t="shared" si="32"/>
        <v>0</v>
      </c>
      <c r="AB143" t="s">
        <v>40</v>
      </c>
    </row>
    <row r="144" spans="1:28" x14ac:dyDescent="0.25">
      <c r="A144" t="s">
        <v>106</v>
      </c>
      <c r="D144" t="s">
        <v>180</v>
      </c>
      <c r="E144" t="s">
        <v>36</v>
      </c>
      <c r="F144">
        <v>64299</v>
      </c>
      <c r="G144">
        <v>64299</v>
      </c>
      <c r="H144">
        <v>1</v>
      </c>
      <c r="I144">
        <f t="shared" si="22"/>
        <v>0</v>
      </c>
      <c r="J144">
        <v>0.42</v>
      </c>
      <c r="K144">
        <f t="shared" si="23"/>
        <v>27005.579999999998</v>
      </c>
      <c r="L144" t="s">
        <v>37</v>
      </c>
      <c r="M144" t="s">
        <v>38</v>
      </c>
      <c r="N144">
        <f t="shared" si="24"/>
        <v>8032.5397152000014</v>
      </c>
      <c r="O144">
        <f t="shared" si="25"/>
        <v>3.9543273822975351E-2</v>
      </c>
      <c r="P144" t="s">
        <v>39</v>
      </c>
      <c r="Q144">
        <f t="shared" si="26"/>
        <v>0.57808053002379511</v>
      </c>
      <c r="R144">
        <f t="shared" si="27"/>
        <v>37170</v>
      </c>
      <c r="S144">
        <f t="shared" si="28"/>
        <v>37170</v>
      </c>
      <c r="T144">
        <v>37170</v>
      </c>
      <c r="U144">
        <f t="shared" si="29"/>
        <v>0</v>
      </c>
      <c r="V144">
        <v>1</v>
      </c>
      <c r="W144">
        <v>0.22500000000000001</v>
      </c>
      <c r="X144">
        <f t="shared" si="30"/>
        <v>8363.25</v>
      </c>
      <c r="Y144">
        <f t="shared" si="31"/>
        <v>8363.25</v>
      </c>
      <c r="Z144">
        <f t="shared" si="32"/>
        <v>0</v>
      </c>
      <c r="AB144" t="s">
        <v>40</v>
      </c>
    </row>
    <row r="145" spans="1:28" x14ac:dyDescent="0.25">
      <c r="A145" t="s">
        <v>106</v>
      </c>
      <c r="D145" t="s">
        <v>181</v>
      </c>
      <c r="E145" t="s">
        <v>36</v>
      </c>
      <c r="F145">
        <v>39242</v>
      </c>
      <c r="G145">
        <v>39242</v>
      </c>
      <c r="H145">
        <v>1</v>
      </c>
      <c r="I145">
        <f t="shared" si="22"/>
        <v>0</v>
      </c>
      <c r="J145">
        <v>0.42</v>
      </c>
      <c r="K145">
        <f t="shared" si="23"/>
        <v>16481.64</v>
      </c>
      <c r="L145" t="s">
        <v>37</v>
      </c>
      <c r="M145" t="s">
        <v>38</v>
      </c>
      <c r="N145">
        <f t="shared" si="24"/>
        <v>4902.2990016000012</v>
      </c>
      <c r="O145">
        <f t="shared" si="25"/>
        <v>4.2706697598125121E-2</v>
      </c>
      <c r="P145" t="s">
        <v>39</v>
      </c>
      <c r="Q145">
        <f t="shared" si="26"/>
        <v>0.57999082615564956</v>
      </c>
      <c r="R145">
        <f t="shared" si="27"/>
        <v>22760</v>
      </c>
      <c r="S145">
        <f t="shared" si="28"/>
        <v>22760</v>
      </c>
      <c r="T145">
        <v>22760</v>
      </c>
      <c r="U145">
        <f t="shared" si="29"/>
        <v>0</v>
      </c>
      <c r="V145">
        <v>1</v>
      </c>
      <c r="W145">
        <v>0.22500000000000001</v>
      </c>
      <c r="X145">
        <f t="shared" si="30"/>
        <v>5121</v>
      </c>
      <c r="Y145">
        <f t="shared" si="31"/>
        <v>5121</v>
      </c>
      <c r="Z145">
        <f t="shared" si="32"/>
        <v>0</v>
      </c>
      <c r="AB145" t="s">
        <v>40</v>
      </c>
    </row>
    <row r="146" spans="1:28" x14ac:dyDescent="0.25">
      <c r="A146" t="s">
        <v>106</v>
      </c>
      <c r="D146" t="s">
        <v>182</v>
      </c>
      <c r="E146" t="s">
        <v>36</v>
      </c>
      <c r="F146">
        <v>65838</v>
      </c>
      <c r="G146">
        <v>65838</v>
      </c>
      <c r="H146">
        <v>1</v>
      </c>
      <c r="I146">
        <f t="shared" si="22"/>
        <v>0</v>
      </c>
      <c r="J146">
        <v>0.42</v>
      </c>
      <c r="K146">
        <f t="shared" si="23"/>
        <v>27651.96</v>
      </c>
      <c r="L146" t="s">
        <v>37</v>
      </c>
      <c r="M146" t="s">
        <v>38</v>
      </c>
      <c r="N146">
        <f t="shared" si="24"/>
        <v>8224.7989824000015</v>
      </c>
      <c r="O146">
        <f t="shared" si="25"/>
        <v>3.9299286622864478E-2</v>
      </c>
      <c r="P146" t="s">
        <v>39</v>
      </c>
      <c r="Q146">
        <f t="shared" si="26"/>
        <v>0.5779337160910113</v>
      </c>
      <c r="R146">
        <f t="shared" si="27"/>
        <v>38050</v>
      </c>
      <c r="S146">
        <f t="shared" si="28"/>
        <v>38050</v>
      </c>
      <c r="T146">
        <v>38050</v>
      </c>
      <c r="U146">
        <f t="shared" si="29"/>
        <v>0</v>
      </c>
      <c r="V146">
        <v>1</v>
      </c>
      <c r="W146">
        <v>0.22500000000000001</v>
      </c>
      <c r="X146">
        <f t="shared" si="30"/>
        <v>8561.25</v>
      </c>
      <c r="Y146">
        <f t="shared" si="31"/>
        <v>8561.25</v>
      </c>
      <c r="Z146">
        <f t="shared" si="32"/>
        <v>0</v>
      </c>
      <c r="AB146" t="s">
        <v>40</v>
      </c>
    </row>
    <row r="147" spans="1:28" x14ac:dyDescent="0.25">
      <c r="A147" t="s">
        <v>106</v>
      </c>
      <c r="D147" t="s">
        <v>183</v>
      </c>
      <c r="E147" t="s">
        <v>36</v>
      </c>
      <c r="F147">
        <v>39242</v>
      </c>
      <c r="G147">
        <v>39242</v>
      </c>
      <c r="H147">
        <v>1</v>
      </c>
      <c r="I147">
        <f t="shared" si="22"/>
        <v>0</v>
      </c>
      <c r="J147">
        <v>0.42</v>
      </c>
      <c r="K147">
        <f t="shared" si="23"/>
        <v>16481.64</v>
      </c>
      <c r="L147" t="s">
        <v>37</v>
      </c>
      <c r="M147" t="s">
        <v>38</v>
      </c>
      <c r="N147">
        <f t="shared" si="24"/>
        <v>4902.2990016000012</v>
      </c>
      <c r="O147">
        <f t="shared" si="25"/>
        <v>4.2706697598125121E-2</v>
      </c>
      <c r="P147" t="s">
        <v>39</v>
      </c>
      <c r="Q147">
        <f t="shared" si="26"/>
        <v>0.57999082615564956</v>
      </c>
      <c r="R147">
        <f t="shared" si="27"/>
        <v>22760</v>
      </c>
      <c r="S147">
        <f t="shared" si="28"/>
        <v>22760</v>
      </c>
      <c r="T147">
        <v>22760</v>
      </c>
      <c r="U147">
        <f t="shared" si="29"/>
        <v>0</v>
      </c>
      <c r="V147">
        <v>1</v>
      </c>
      <c r="W147">
        <v>0.22500000000000001</v>
      </c>
      <c r="X147">
        <f t="shared" si="30"/>
        <v>5121</v>
      </c>
      <c r="Y147">
        <f t="shared" si="31"/>
        <v>5121</v>
      </c>
      <c r="Z147">
        <f t="shared" si="32"/>
        <v>0</v>
      </c>
      <c r="AB147" t="s">
        <v>40</v>
      </c>
    </row>
    <row r="148" spans="1:28" x14ac:dyDescent="0.25">
      <c r="A148" t="s">
        <v>106</v>
      </c>
      <c r="D148" t="s">
        <v>184</v>
      </c>
      <c r="E148" t="s">
        <v>36</v>
      </c>
      <c r="F148">
        <v>65838</v>
      </c>
      <c r="G148">
        <v>65838</v>
      </c>
      <c r="H148">
        <v>1</v>
      </c>
      <c r="I148">
        <f t="shared" si="22"/>
        <v>0</v>
      </c>
      <c r="J148">
        <v>0.42</v>
      </c>
      <c r="K148">
        <f t="shared" si="23"/>
        <v>27651.96</v>
      </c>
      <c r="L148" t="s">
        <v>37</v>
      </c>
      <c r="M148" t="s">
        <v>38</v>
      </c>
      <c r="N148">
        <f t="shared" si="24"/>
        <v>8224.7989824000015</v>
      </c>
      <c r="O148">
        <f t="shared" si="25"/>
        <v>3.9299286622864478E-2</v>
      </c>
      <c r="P148" t="s">
        <v>39</v>
      </c>
      <c r="Q148">
        <f t="shared" si="26"/>
        <v>0.5779337160910113</v>
      </c>
      <c r="R148">
        <f t="shared" si="27"/>
        <v>38050</v>
      </c>
      <c r="S148">
        <f t="shared" si="28"/>
        <v>38050</v>
      </c>
      <c r="T148">
        <v>38050</v>
      </c>
      <c r="U148">
        <f t="shared" si="29"/>
        <v>0</v>
      </c>
      <c r="V148">
        <v>1</v>
      </c>
      <c r="W148">
        <v>0.22500000000000001</v>
      </c>
      <c r="X148">
        <f t="shared" si="30"/>
        <v>8561.25</v>
      </c>
      <c r="Y148">
        <f t="shared" si="31"/>
        <v>8561.25</v>
      </c>
      <c r="Z148">
        <f t="shared" si="32"/>
        <v>0</v>
      </c>
      <c r="AB148" t="s">
        <v>40</v>
      </c>
    </row>
    <row r="149" spans="1:28" x14ac:dyDescent="0.25">
      <c r="A149" t="s">
        <v>106</v>
      </c>
      <c r="D149" t="s">
        <v>185</v>
      </c>
      <c r="E149" t="s">
        <v>36</v>
      </c>
      <c r="F149">
        <v>41549</v>
      </c>
      <c r="G149">
        <v>41549</v>
      </c>
      <c r="H149">
        <v>1</v>
      </c>
      <c r="I149">
        <f t="shared" si="22"/>
        <v>0</v>
      </c>
      <c r="J149">
        <v>0.42</v>
      </c>
      <c r="K149">
        <f t="shared" si="23"/>
        <v>17450.579999999998</v>
      </c>
      <c r="L149" t="s">
        <v>37</v>
      </c>
      <c r="M149" t="s">
        <v>38</v>
      </c>
      <c r="N149">
        <f t="shared" si="24"/>
        <v>5190.5005152000003</v>
      </c>
      <c r="O149">
        <f t="shared" si="25"/>
        <v>3.8395532360705788E-2</v>
      </c>
      <c r="P149" t="s">
        <v>39</v>
      </c>
      <c r="Q149">
        <f t="shared" si="26"/>
        <v>0.57739055091578617</v>
      </c>
      <c r="R149">
        <f t="shared" si="27"/>
        <v>23990</v>
      </c>
      <c r="S149">
        <f t="shared" si="28"/>
        <v>23990</v>
      </c>
      <c r="T149">
        <v>23990</v>
      </c>
      <c r="U149">
        <f t="shared" si="29"/>
        <v>0</v>
      </c>
      <c r="V149">
        <v>1</v>
      </c>
      <c r="W149">
        <v>0.22500000000000001</v>
      </c>
      <c r="X149">
        <f t="shared" si="30"/>
        <v>5397.75</v>
      </c>
      <c r="Y149">
        <f t="shared" si="31"/>
        <v>5397.75</v>
      </c>
      <c r="Z149">
        <f t="shared" si="32"/>
        <v>0</v>
      </c>
      <c r="AB149" t="s">
        <v>40</v>
      </c>
    </row>
    <row r="150" spans="1:28" x14ac:dyDescent="0.25">
      <c r="A150" t="s">
        <v>106</v>
      </c>
      <c r="D150" t="s">
        <v>186</v>
      </c>
      <c r="E150" t="s">
        <v>36</v>
      </c>
      <c r="F150">
        <v>67953</v>
      </c>
      <c r="G150">
        <v>67953</v>
      </c>
      <c r="H150">
        <v>1</v>
      </c>
      <c r="I150">
        <f t="shared" si="22"/>
        <v>0</v>
      </c>
      <c r="J150">
        <v>0.42</v>
      </c>
      <c r="K150">
        <f t="shared" si="23"/>
        <v>28540.26</v>
      </c>
      <c r="L150" t="s">
        <v>37</v>
      </c>
      <c r="M150" t="s">
        <v>38</v>
      </c>
      <c r="N150">
        <f t="shared" si="24"/>
        <v>8489.0149344000001</v>
      </c>
      <c r="O150">
        <f t="shared" si="25"/>
        <v>3.9242290196078417E-2</v>
      </c>
      <c r="P150" t="s">
        <v>39</v>
      </c>
      <c r="Q150">
        <f t="shared" si="26"/>
        <v>0.57789943048872017</v>
      </c>
      <c r="R150">
        <f t="shared" si="27"/>
        <v>39270</v>
      </c>
      <c r="S150">
        <f t="shared" si="28"/>
        <v>39270</v>
      </c>
      <c r="T150">
        <v>39270</v>
      </c>
      <c r="U150">
        <f t="shared" si="29"/>
        <v>0</v>
      </c>
      <c r="V150">
        <v>1</v>
      </c>
      <c r="W150">
        <v>0.22500000000000001</v>
      </c>
      <c r="X150">
        <f t="shared" si="30"/>
        <v>8835.75</v>
      </c>
      <c r="Y150">
        <f t="shared" si="31"/>
        <v>8835.75</v>
      </c>
      <c r="Z150">
        <f t="shared" si="32"/>
        <v>0</v>
      </c>
      <c r="AB150" t="s">
        <v>40</v>
      </c>
    </row>
    <row r="151" spans="1:28" x14ac:dyDescent="0.25">
      <c r="A151" t="s">
        <v>106</v>
      </c>
      <c r="D151" t="s">
        <v>187</v>
      </c>
      <c r="E151" t="s">
        <v>36</v>
      </c>
      <c r="F151">
        <v>41549</v>
      </c>
      <c r="G151">
        <v>41549</v>
      </c>
      <c r="H151">
        <v>1</v>
      </c>
      <c r="I151">
        <f t="shared" si="22"/>
        <v>0</v>
      </c>
      <c r="J151">
        <v>0.42</v>
      </c>
      <c r="K151">
        <f t="shared" si="23"/>
        <v>17450.579999999998</v>
      </c>
      <c r="L151" t="s">
        <v>37</v>
      </c>
      <c r="M151" t="s">
        <v>38</v>
      </c>
      <c r="N151">
        <f t="shared" si="24"/>
        <v>5190.5005152000003</v>
      </c>
      <c r="O151">
        <f t="shared" si="25"/>
        <v>3.8395532360705788E-2</v>
      </c>
      <c r="P151" t="s">
        <v>39</v>
      </c>
      <c r="Q151">
        <f t="shared" si="26"/>
        <v>0.57739055091578617</v>
      </c>
      <c r="R151">
        <f t="shared" si="27"/>
        <v>23990</v>
      </c>
      <c r="S151">
        <f t="shared" si="28"/>
        <v>23990</v>
      </c>
      <c r="T151">
        <v>23990</v>
      </c>
      <c r="U151">
        <f t="shared" si="29"/>
        <v>0</v>
      </c>
      <c r="V151">
        <v>1</v>
      </c>
      <c r="W151">
        <v>0.22500000000000001</v>
      </c>
      <c r="X151">
        <f t="shared" si="30"/>
        <v>5397.75</v>
      </c>
      <c r="Y151">
        <f t="shared" si="31"/>
        <v>5397.75</v>
      </c>
      <c r="Z151">
        <f t="shared" si="32"/>
        <v>0</v>
      </c>
      <c r="AB151" t="s">
        <v>40</v>
      </c>
    </row>
    <row r="152" spans="1:28" x14ac:dyDescent="0.25">
      <c r="A152" t="s">
        <v>106</v>
      </c>
      <c r="D152" t="s">
        <v>188</v>
      </c>
      <c r="E152" t="s">
        <v>36</v>
      </c>
      <c r="F152">
        <v>67953</v>
      </c>
      <c r="G152">
        <v>67953</v>
      </c>
      <c r="H152">
        <v>1</v>
      </c>
      <c r="I152">
        <f t="shared" si="22"/>
        <v>0</v>
      </c>
      <c r="J152">
        <v>0.42</v>
      </c>
      <c r="K152">
        <f t="shared" si="23"/>
        <v>28540.26</v>
      </c>
      <c r="L152" t="s">
        <v>37</v>
      </c>
      <c r="M152" t="s">
        <v>38</v>
      </c>
      <c r="N152">
        <f t="shared" si="24"/>
        <v>8489.0149344000001</v>
      </c>
      <c r="O152">
        <f t="shared" si="25"/>
        <v>3.9242290196078417E-2</v>
      </c>
      <c r="P152" t="s">
        <v>39</v>
      </c>
      <c r="Q152">
        <f t="shared" si="26"/>
        <v>0.57789943048872017</v>
      </c>
      <c r="R152">
        <f t="shared" si="27"/>
        <v>39270</v>
      </c>
      <c r="S152">
        <f t="shared" si="28"/>
        <v>39270</v>
      </c>
      <c r="T152">
        <v>39270</v>
      </c>
      <c r="U152">
        <f t="shared" si="29"/>
        <v>0</v>
      </c>
      <c r="V152">
        <v>1</v>
      </c>
      <c r="W152">
        <v>0.22500000000000001</v>
      </c>
      <c r="X152">
        <f t="shared" si="30"/>
        <v>8835.75</v>
      </c>
      <c r="Y152">
        <f t="shared" si="31"/>
        <v>8835.75</v>
      </c>
      <c r="Z152">
        <f t="shared" si="32"/>
        <v>0</v>
      </c>
      <c r="AB152" t="s">
        <v>40</v>
      </c>
    </row>
    <row r="153" spans="1:28" x14ac:dyDescent="0.25">
      <c r="A153" t="s">
        <v>106</v>
      </c>
      <c r="D153" t="s">
        <v>189</v>
      </c>
      <c r="E153" t="s">
        <v>36</v>
      </c>
      <c r="F153">
        <v>48280</v>
      </c>
      <c r="G153">
        <v>48280</v>
      </c>
      <c r="H153">
        <v>1</v>
      </c>
      <c r="I153">
        <f t="shared" si="22"/>
        <v>0</v>
      </c>
      <c r="J153">
        <v>0.42</v>
      </c>
      <c r="K153">
        <f t="shared" si="23"/>
        <v>20277.599999999999</v>
      </c>
      <c r="L153" t="s">
        <v>37</v>
      </c>
      <c r="M153" t="s">
        <v>38</v>
      </c>
      <c r="N153">
        <f t="shared" si="24"/>
        <v>6031.3693440000006</v>
      </c>
      <c r="O153">
        <f t="shared" si="25"/>
        <v>3.6791736495388569E-2</v>
      </c>
      <c r="P153" t="s">
        <v>39</v>
      </c>
      <c r="Q153">
        <f t="shared" si="26"/>
        <v>0.5764291632145816</v>
      </c>
      <c r="R153">
        <f t="shared" si="27"/>
        <v>27830</v>
      </c>
      <c r="S153">
        <f t="shared" si="28"/>
        <v>27830</v>
      </c>
      <c r="T153">
        <v>27830</v>
      </c>
      <c r="U153">
        <f t="shared" si="29"/>
        <v>0</v>
      </c>
      <c r="V153">
        <v>1</v>
      </c>
      <c r="W153">
        <v>0.22500000000000001</v>
      </c>
      <c r="X153">
        <f t="shared" si="30"/>
        <v>6261.75</v>
      </c>
      <c r="Y153">
        <f t="shared" si="31"/>
        <v>6261.75</v>
      </c>
      <c r="Z153">
        <f t="shared" si="32"/>
        <v>0</v>
      </c>
      <c r="AB153" t="s">
        <v>40</v>
      </c>
    </row>
    <row r="154" spans="1:28" x14ac:dyDescent="0.25">
      <c r="A154" t="s">
        <v>106</v>
      </c>
      <c r="D154" t="s">
        <v>190</v>
      </c>
      <c r="E154" t="s">
        <v>36</v>
      </c>
      <c r="F154">
        <v>74684</v>
      </c>
      <c r="G154">
        <v>74684</v>
      </c>
      <c r="H154">
        <v>1</v>
      </c>
      <c r="I154">
        <f t="shared" si="22"/>
        <v>0</v>
      </c>
      <c r="J154">
        <v>0.42</v>
      </c>
      <c r="K154">
        <f t="shared" si="23"/>
        <v>31367.279999999999</v>
      </c>
      <c r="L154" t="s">
        <v>37</v>
      </c>
      <c r="M154" t="s">
        <v>38</v>
      </c>
      <c r="N154">
        <f t="shared" si="24"/>
        <v>9329.8837632000013</v>
      </c>
      <c r="O154">
        <f t="shared" si="25"/>
        <v>3.6567145477075451E-2</v>
      </c>
      <c r="P154" t="s">
        <v>39</v>
      </c>
      <c r="Q154">
        <f t="shared" si="26"/>
        <v>0.57629478870976381</v>
      </c>
      <c r="R154">
        <f t="shared" si="27"/>
        <v>43040</v>
      </c>
      <c r="S154">
        <f t="shared" si="28"/>
        <v>43040</v>
      </c>
      <c r="T154">
        <v>43040</v>
      </c>
      <c r="U154">
        <f t="shared" si="29"/>
        <v>0</v>
      </c>
      <c r="V154">
        <v>1</v>
      </c>
      <c r="W154">
        <v>0.22500000000000001</v>
      </c>
      <c r="X154">
        <f t="shared" si="30"/>
        <v>9684</v>
      </c>
      <c r="Y154">
        <f t="shared" si="31"/>
        <v>9684</v>
      </c>
      <c r="Z154">
        <f t="shared" si="32"/>
        <v>0</v>
      </c>
      <c r="AB154" t="s">
        <v>40</v>
      </c>
    </row>
    <row r="155" spans="1:28" x14ac:dyDescent="0.25">
      <c r="A155" t="s">
        <v>106</v>
      </c>
      <c r="D155" t="s">
        <v>191</v>
      </c>
      <c r="E155" t="s">
        <v>36</v>
      </c>
      <c r="F155">
        <v>52511</v>
      </c>
      <c r="G155">
        <v>52511</v>
      </c>
      <c r="H155">
        <v>1</v>
      </c>
      <c r="I155">
        <f t="shared" si="22"/>
        <v>0</v>
      </c>
      <c r="J155">
        <v>0.42</v>
      </c>
      <c r="K155">
        <f t="shared" si="23"/>
        <v>22054.62</v>
      </c>
      <c r="L155" t="s">
        <v>37</v>
      </c>
      <c r="M155" t="s">
        <v>38</v>
      </c>
      <c r="N155">
        <f t="shared" si="24"/>
        <v>6559.9261728000001</v>
      </c>
      <c r="O155">
        <f t="shared" si="25"/>
        <v>3.778127278327844E-2</v>
      </c>
      <c r="P155" t="s">
        <v>39</v>
      </c>
      <c r="Q155">
        <f t="shared" si="26"/>
        <v>0.57702195730418393</v>
      </c>
      <c r="R155">
        <f t="shared" si="27"/>
        <v>30300.000000000004</v>
      </c>
      <c r="S155">
        <f t="shared" si="28"/>
        <v>30300.000000000004</v>
      </c>
      <c r="T155">
        <v>30300</v>
      </c>
      <c r="U155">
        <f t="shared" si="29"/>
        <v>-1.2006530716474299E-16</v>
      </c>
      <c r="V155">
        <v>1</v>
      </c>
      <c r="W155">
        <v>0.22500000000000001</v>
      </c>
      <c r="X155">
        <f t="shared" si="30"/>
        <v>6817.5000000000009</v>
      </c>
      <c r="Y155">
        <f t="shared" si="31"/>
        <v>6817.5000000000009</v>
      </c>
      <c r="Z155">
        <f t="shared" si="32"/>
        <v>0</v>
      </c>
      <c r="AB155" t="s">
        <v>40</v>
      </c>
    </row>
    <row r="156" spans="1:28" x14ac:dyDescent="0.25">
      <c r="A156" t="s">
        <v>106</v>
      </c>
      <c r="D156" t="s">
        <v>192</v>
      </c>
      <c r="E156" t="s">
        <v>36</v>
      </c>
      <c r="F156">
        <v>78915</v>
      </c>
      <c r="G156">
        <v>78915</v>
      </c>
      <c r="H156">
        <v>1</v>
      </c>
      <c r="I156">
        <f t="shared" si="22"/>
        <v>0</v>
      </c>
      <c r="J156">
        <v>0.42</v>
      </c>
      <c r="K156">
        <f t="shared" si="23"/>
        <v>33144.299999999996</v>
      </c>
      <c r="L156" t="s">
        <v>37</v>
      </c>
      <c r="M156" t="s">
        <v>38</v>
      </c>
      <c r="N156">
        <f t="shared" si="24"/>
        <v>9858.4405920000008</v>
      </c>
      <c r="O156">
        <f t="shared" si="25"/>
        <v>3.7238156009668122E-2</v>
      </c>
      <c r="P156" t="s">
        <v>39</v>
      </c>
      <c r="Q156">
        <f t="shared" si="26"/>
        <v>0.57669644554267252</v>
      </c>
      <c r="R156">
        <f t="shared" si="27"/>
        <v>45510</v>
      </c>
      <c r="S156">
        <f t="shared" si="28"/>
        <v>45510</v>
      </c>
      <c r="T156">
        <v>45510</v>
      </c>
      <c r="U156">
        <f t="shared" si="29"/>
        <v>0</v>
      </c>
      <c r="V156">
        <v>1</v>
      </c>
      <c r="W156">
        <v>0.22500000000000001</v>
      </c>
      <c r="X156">
        <f t="shared" si="30"/>
        <v>10239.75</v>
      </c>
      <c r="Y156">
        <f t="shared" si="31"/>
        <v>10239.75</v>
      </c>
      <c r="Z156">
        <f t="shared" si="32"/>
        <v>0</v>
      </c>
      <c r="AB156" t="s">
        <v>40</v>
      </c>
    </row>
    <row r="157" spans="1:28" x14ac:dyDescent="0.25">
      <c r="A157" t="s">
        <v>106</v>
      </c>
      <c r="D157" t="s">
        <v>193</v>
      </c>
      <c r="E157" t="s">
        <v>36</v>
      </c>
      <c r="F157">
        <v>52511</v>
      </c>
      <c r="G157">
        <v>52511</v>
      </c>
      <c r="H157">
        <v>1</v>
      </c>
      <c r="I157">
        <f t="shared" si="22"/>
        <v>0</v>
      </c>
      <c r="J157">
        <v>0.42</v>
      </c>
      <c r="K157">
        <f t="shared" si="23"/>
        <v>22054.62</v>
      </c>
      <c r="L157" t="s">
        <v>37</v>
      </c>
      <c r="M157" t="s">
        <v>38</v>
      </c>
      <c r="N157">
        <f t="shared" si="24"/>
        <v>6559.9261728000001</v>
      </c>
      <c r="O157">
        <f t="shared" si="25"/>
        <v>3.778127278327844E-2</v>
      </c>
      <c r="P157" t="s">
        <v>39</v>
      </c>
      <c r="Q157">
        <f t="shared" si="26"/>
        <v>0.57702195730418393</v>
      </c>
      <c r="R157">
        <f t="shared" si="27"/>
        <v>30300.000000000004</v>
      </c>
      <c r="S157">
        <f t="shared" si="28"/>
        <v>30300.000000000004</v>
      </c>
      <c r="T157">
        <v>30300</v>
      </c>
      <c r="U157">
        <f t="shared" si="29"/>
        <v>-1.2006530716474299E-16</v>
      </c>
      <c r="V157">
        <v>1</v>
      </c>
      <c r="W157">
        <v>0.22500000000000001</v>
      </c>
      <c r="X157">
        <f t="shared" si="30"/>
        <v>6817.5000000000009</v>
      </c>
      <c r="Y157">
        <f t="shared" si="31"/>
        <v>6817.5000000000009</v>
      </c>
      <c r="Z157">
        <f t="shared" si="32"/>
        <v>0</v>
      </c>
      <c r="AB157" t="s">
        <v>40</v>
      </c>
    </row>
    <row r="158" spans="1:28" x14ac:dyDescent="0.25">
      <c r="A158" t="s">
        <v>106</v>
      </c>
      <c r="D158" t="s">
        <v>194</v>
      </c>
      <c r="E158" t="s">
        <v>36</v>
      </c>
      <c r="F158">
        <v>78915</v>
      </c>
      <c r="G158">
        <v>78915</v>
      </c>
      <c r="H158">
        <v>1</v>
      </c>
      <c r="I158">
        <f t="shared" si="22"/>
        <v>0</v>
      </c>
      <c r="J158">
        <v>0.42</v>
      </c>
      <c r="K158">
        <f t="shared" si="23"/>
        <v>33144.299999999996</v>
      </c>
      <c r="L158" t="s">
        <v>37</v>
      </c>
      <c r="M158" t="s">
        <v>38</v>
      </c>
      <c r="N158">
        <f t="shared" si="24"/>
        <v>9858.4405920000008</v>
      </c>
      <c r="O158">
        <f t="shared" si="25"/>
        <v>3.7238156009668122E-2</v>
      </c>
      <c r="P158" t="s">
        <v>39</v>
      </c>
      <c r="Q158">
        <f t="shared" si="26"/>
        <v>0.57669644554267252</v>
      </c>
      <c r="R158">
        <f t="shared" si="27"/>
        <v>45510</v>
      </c>
      <c r="S158">
        <f t="shared" si="28"/>
        <v>45510</v>
      </c>
      <c r="T158">
        <v>45510</v>
      </c>
      <c r="U158">
        <f t="shared" si="29"/>
        <v>0</v>
      </c>
      <c r="V158">
        <v>1</v>
      </c>
      <c r="W158">
        <v>0.22500000000000001</v>
      </c>
      <c r="X158">
        <f t="shared" si="30"/>
        <v>10239.75</v>
      </c>
      <c r="Y158">
        <f t="shared" si="31"/>
        <v>10239.75</v>
      </c>
      <c r="Z158">
        <f t="shared" si="32"/>
        <v>0</v>
      </c>
      <c r="AB158" t="s">
        <v>40</v>
      </c>
    </row>
    <row r="159" spans="1:28" x14ac:dyDescent="0.25">
      <c r="A159" t="s">
        <v>106</v>
      </c>
      <c r="D159" t="s">
        <v>195</v>
      </c>
      <c r="E159" t="s">
        <v>36</v>
      </c>
      <c r="F159">
        <v>42246</v>
      </c>
      <c r="G159">
        <v>42246</v>
      </c>
      <c r="H159">
        <v>1</v>
      </c>
      <c r="I159">
        <f t="shared" si="22"/>
        <v>0</v>
      </c>
      <c r="J159">
        <v>0.42</v>
      </c>
      <c r="K159">
        <f t="shared" si="23"/>
        <v>17743.32</v>
      </c>
      <c r="L159" t="s">
        <v>37</v>
      </c>
      <c r="M159" t="s">
        <v>38</v>
      </c>
      <c r="N159">
        <f t="shared" si="24"/>
        <v>5277.5731008000002</v>
      </c>
      <c r="O159">
        <f t="shared" si="25"/>
        <v>3.6719488788500981E-2</v>
      </c>
      <c r="P159" t="s">
        <v>39</v>
      </c>
      <c r="Q159">
        <f t="shared" si="26"/>
        <v>0.5763859300288785</v>
      </c>
      <c r="R159">
        <f t="shared" si="27"/>
        <v>24350</v>
      </c>
      <c r="S159">
        <f t="shared" si="28"/>
        <v>24350</v>
      </c>
      <c r="T159">
        <v>24350</v>
      </c>
      <c r="U159">
        <f t="shared" si="29"/>
        <v>0</v>
      </c>
      <c r="V159">
        <v>1</v>
      </c>
      <c r="W159">
        <v>0.22500000000000001</v>
      </c>
      <c r="X159">
        <f t="shared" si="30"/>
        <v>5478.75</v>
      </c>
      <c r="Y159">
        <f t="shared" si="31"/>
        <v>5478.75</v>
      </c>
      <c r="Z159">
        <f t="shared" si="32"/>
        <v>0</v>
      </c>
      <c r="AB159" t="s">
        <v>40</v>
      </c>
    </row>
    <row r="160" spans="1:28" x14ac:dyDescent="0.25">
      <c r="A160" t="s">
        <v>106</v>
      </c>
      <c r="D160" t="s">
        <v>196</v>
      </c>
      <c r="E160" t="s">
        <v>36</v>
      </c>
      <c r="F160">
        <v>73650</v>
      </c>
      <c r="G160">
        <v>73650</v>
      </c>
      <c r="H160">
        <v>1</v>
      </c>
      <c r="I160">
        <f t="shared" si="22"/>
        <v>0</v>
      </c>
      <c r="J160">
        <v>0.42</v>
      </c>
      <c r="K160">
        <f t="shared" si="23"/>
        <v>30933</v>
      </c>
      <c r="L160" t="s">
        <v>37</v>
      </c>
      <c r="M160" t="s">
        <v>38</v>
      </c>
      <c r="N160">
        <f t="shared" si="24"/>
        <v>9200.7115200000026</v>
      </c>
      <c r="O160">
        <f t="shared" si="25"/>
        <v>3.715443371791826E-2</v>
      </c>
      <c r="P160" t="s">
        <v>39</v>
      </c>
      <c r="Q160">
        <f t="shared" si="26"/>
        <v>0.57664630006788864</v>
      </c>
      <c r="R160">
        <f t="shared" si="27"/>
        <v>42470</v>
      </c>
      <c r="S160">
        <f t="shared" si="28"/>
        <v>42470</v>
      </c>
      <c r="T160">
        <v>42470</v>
      </c>
      <c r="U160">
        <f t="shared" si="29"/>
        <v>0</v>
      </c>
      <c r="V160">
        <v>1</v>
      </c>
      <c r="W160">
        <v>0.22500000000000001</v>
      </c>
      <c r="X160">
        <f t="shared" si="30"/>
        <v>9555.75</v>
      </c>
      <c r="Y160">
        <f t="shared" si="31"/>
        <v>9555.75</v>
      </c>
      <c r="Z160">
        <f t="shared" si="32"/>
        <v>0</v>
      </c>
      <c r="AB160" t="s">
        <v>40</v>
      </c>
    </row>
    <row r="161" spans="1:28" x14ac:dyDescent="0.25">
      <c r="A161" t="s">
        <v>106</v>
      </c>
      <c r="D161" t="s">
        <v>197</v>
      </c>
      <c r="E161" t="s">
        <v>36</v>
      </c>
      <c r="F161">
        <v>39362</v>
      </c>
      <c r="G161">
        <v>39362</v>
      </c>
      <c r="H161">
        <v>1</v>
      </c>
      <c r="I161">
        <f t="shared" si="22"/>
        <v>0</v>
      </c>
      <c r="J161">
        <v>0.42</v>
      </c>
      <c r="K161">
        <f t="shared" si="23"/>
        <v>16532.04</v>
      </c>
      <c r="L161" t="s">
        <v>37</v>
      </c>
      <c r="M161" t="s">
        <v>38</v>
      </c>
      <c r="N161">
        <f t="shared" si="24"/>
        <v>4917.2899776000013</v>
      </c>
      <c r="O161">
        <f t="shared" si="25"/>
        <v>4.2723516308949959E-2</v>
      </c>
      <c r="P161" t="s">
        <v>39</v>
      </c>
      <c r="Q161">
        <f t="shared" si="26"/>
        <v>0.58000101620852595</v>
      </c>
      <c r="R161">
        <f t="shared" si="27"/>
        <v>22830</v>
      </c>
      <c r="S161">
        <f t="shared" si="28"/>
        <v>22830</v>
      </c>
      <c r="T161">
        <v>22830</v>
      </c>
      <c r="U161">
        <f t="shared" si="29"/>
        <v>0</v>
      </c>
      <c r="V161">
        <v>1</v>
      </c>
      <c r="W161">
        <v>0.22500000000000001</v>
      </c>
      <c r="X161">
        <f t="shared" si="30"/>
        <v>5136.75</v>
      </c>
      <c r="Y161">
        <f t="shared" si="31"/>
        <v>5136.75</v>
      </c>
      <c r="Z161">
        <f t="shared" si="32"/>
        <v>0</v>
      </c>
      <c r="AB161" t="s">
        <v>40</v>
      </c>
    </row>
    <row r="162" spans="1:28" x14ac:dyDescent="0.25">
      <c r="A162" t="s">
        <v>106</v>
      </c>
      <c r="D162" t="s">
        <v>198</v>
      </c>
      <c r="E162" t="s">
        <v>36</v>
      </c>
      <c r="F162">
        <v>70573</v>
      </c>
      <c r="G162">
        <v>70573</v>
      </c>
      <c r="H162">
        <v>1</v>
      </c>
      <c r="I162">
        <f t="shared" si="22"/>
        <v>0</v>
      </c>
      <c r="J162">
        <v>0.42</v>
      </c>
      <c r="K162">
        <f t="shared" si="23"/>
        <v>29640.66</v>
      </c>
      <c r="L162" t="s">
        <v>37</v>
      </c>
      <c r="M162" t="s">
        <v>38</v>
      </c>
      <c r="N162">
        <f t="shared" si="24"/>
        <v>8816.3179104000028</v>
      </c>
      <c r="O162">
        <f t="shared" si="25"/>
        <v>3.7729981401440425E-2</v>
      </c>
      <c r="P162" t="s">
        <v>39</v>
      </c>
      <c r="Q162">
        <f t="shared" si="26"/>
        <v>0.57699120060079634</v>
      </c>
      <c r="R162">
        <f t="shared" si="27"/>
        <v>40720</v>
      </c>
      <c r="S162">
        <f t="shared" si="28"/>
        <v>40720</v>
      </c>
      <c r="T162">
        <v>40720</v>
      </c>
      <c r="U162">
        <f t="shared" si="29"/>
        <v>0</v>
      </c>
      <c r="V162">
        <v>1</v>
      </c>
      <c r="W162">
        <v>0.22500000000000001</v>
      </c>
      <c r="X162">
        <f t="shared" si="30"/>
        <v>9162</v>
      </c>
      <c r="Y162">
        <f t="shared" si="31"/>
        <v>9162</v>
      </c>
      <c r="Z162">
        <f t="shared" si="32"/>
        <v>0</v>
      </c>
      <c r="AB162" t="s">
        <v>40</v>
      </c>
    </row>
    <row r="163" spans="1:28" x14ac:dyDescent="0.25">
      <c r="A163" t="s">
        <v>106</v>
      </c>
      <c r="D163" t="s">
        <v>199</v>
      </c>
      <c r="E163" t="s">
        <v>36</v>
      </c>
      <c r="F163">
        <v>39362</v>
      </c>
      <c r="G163">
        <v>39362</v>
      </c>
      <c r="H163">
        <v>1</v>
      </c>
      <c r="I163">
        <f t="shared" si="22"/>
        <v>0</v>
      </c>
      <c r="J163">
        <v>0.42</v>
      </c>
      <c r="K163">
        <f t="shared" si="23"/>
        <v>16532.04</v>
      </c>
      <c r="L163" t="s">
        <v>37</v>
      </c>
      <c r="M163" t="s">
        <v>38</v>
      </c>
      <c r="N163">
        <f t="shared" si="24"/>
        <v>4917.2899776000013</v>
      </c>
      <c r="O163">
        <f t="shared" si="25"/>
        <v>4.2723516308949959E-2</v>
      </c>
      <c r="P163" t="s">
        <v>39</v>
      </c>
      <c r="Q163">
        <f t="shared" si="26"/>
        <v>0.58000101620852595</v>
      </c>
      <c r="R163">
        <f t="shared" si="27"/>
        <v>22830</v>
      </c>
      <c r="S163">
        <f t="shared" si="28"/>
        <v>22830</v>
      </c>
      <c r="T163">
        <v>22830</v>
      </c>
      <c r="U163">
        <f t="shared" si="29"/>
        <v>0</v>
      </c>
      <c r="V163">
        <v>1</v>
      </c>
      <c r="W163">
        <v>0.22500000000000001</v>
      </c>
      <c r="X163">
        <f t="shared" si="30"/>
        <v>5136.75</v>
      </c>
      <c r="Y163">
        <f t="shared" si="31"/>
        <v>5136.75</v>
      </c>
      <c r="Z163">
        <f t="shared" si="32"/>
        <v>0</v>
      </c>
      <c r="AB163" t="s">
        <v>40</v>
      </c>
    </row>
    <row r="164" spans="1:28" x14ac:dyDescent="0.25">
      <c r="A164" t="s">
        <v>106</v>
      </c>
      <c r="D164" t="s">
        <v>200</v>
      </c>
      <c r="E164" t="s">
        <v>36</v>
      </c>
      <c r="F164">
        <v>70573</v>
      </c>
      <c r="G164">
        <v>70573</v>
      </c>
      <c r="H164">
        <v>1</v>
      </c>
      <c r="I164">
        <f t="shared" si="22"/>
        <v>0</v>
      </c>
      <c r="J164">
        <v>0.42</v>
      </c>
      <c r="K164">
        <f t="shared" si="23"/>
        <v>29640.66</v>
      </c>
      <c r="L164" t="s">
        <v>37</v>
      </c>
      <c r="M164" t="s">
        <v>38</v>
      </c>
      <c r="N164">
        <f t="shared" si="24"/>
        <v>8816.3179104000028</v>
      </c>
      <c r="O164">
        <f t="shared" si="25"/>
        <v>3.7729981401440425E-2</v>
      </c>
      <c r="P164" t="s">
        <v>39</v>
      </c>
      <c r="Q164">
        <f t="shared" si="26"/>
        <v>0.57699120060079634</v>
      </c>
      <c r="R164">
        <f t="shared" si="27"/>
        <v>40720</v>
      </c>
      <c r="S164">
        <f t="shared" si="28"/>
        <v>40720</v>
      </c>
      <c r="T164">
        <v>40720</v>
      </c>
      <c r="U164">
        <f t="shared" si="29"/>
        <v>0</v>
      </c>
      <c r="V164">
        <v>1</v>
      </c>
      <c r="W164">
        <v>0.22500000000000001</v>
      </c>
      <c r="X164">
        <f t="shared" si="30"/>
        <v>9162</v>
      </c>
      <c r="Y164">
        <f t="shared" si="31"/>
        <v>9162</v>
      </c>
      <c r="Z164">
        <f t="shared" si="32"/>
        <v>0</v>
      </c>
      <c r="AB164" t="s">
        <v>40</v>
      </c>
    </row>
    <row r="165" spans="1:28" x14ac:dyDescent="0.25">
      <c r="A165" t="s">
        <v>106</v>
      </c>
      <c r="D165" t="s">
        <v>201</v>
      </c>
      <c r="E165" t="s">
        <v>36</v>
      </c>
      <c r="F165">
        <v>39362</v>
      </c>
      <c r="G165">
        <v>39362</v>
      </c>
      <c r="H165">
        <v>1</v>
      </c>
      <c r="I165">
        <f t="shared" si="22"/>
        <v>0</v>
      </c>
      <c r="J165">
        <v>0.42</v>
      </c>
      <c r="K165">
        <f t="shared" si="23"/>
        <v>16532.04</v>
      </c>
      <c r="L165" t="s">
        <v>37</v>
      </c>
      <c r="M165" t="s">
        <v>38</v>
      </c>
      <c r="N165">
        <f t="shared" si="24"/>
        <v>4917.2899776000013</v>
      </c>
      <c r="O165">
        <f t="shared" si="25"/>
        <v>4.2723516308949959E-2</v>
      </c>
      <c r="P165" t="s">
        <v>39</v>
      </c>
      <c r="Q165">
        <f t="shared" si="26"/>
        <v>0.58000101620852595</v>
      </c>
      <c r="R165">
        <f t="shared" si="27"/>
        <v>22830</v>
      </c>
      <c r="S165">
        <f t="shared" si="28"/>
        <v>22830</v>
      </c>
      <c r="T165">
        <v>22830</v>
      </c>
      <c r="U165">
        <f t="shared" si="29"/>
        <v>0</v>
      </c>
      <c r="V165">
        <v>1</v>
      </c>
      <c r="W165">
        <v>0.22500000000000001</v>
      </c>
      <c r="X165">
        <f t="shared" si="30"/>
        <v>5136.75</v>
      </c>
      <c r="Y165">
        <f t="shared" si="31"/>
        <v>5136.75</v>
      </c>
      <c r="Z165">
        <f t="shared" si="32"/>
        <v>0</v>
      </c>
      <c r="AB165" t="s">
        <v>40</v>
      </c>
    </row>
    <row r="166" spans="1:28" x14ac:dyDescent="0.25">
      <c r="A166" t="s">
        <v>106</v>
      </c>
      <c r="D166" t="s">
        <v>202</v>
      </c>
      <c r="E166" t="s">
        <v>36</v>
      </c>
      <c r="F166">
        <v>70573</v>
      </c>
      <c r="G166">
        <v>70573</v>
      </c>
      <c r="H166">
        <v>1</v>
      </c>
      <c r="I166">
        <f t="shared" si="22"/>
        <v>0</v>
      </c>
      <c r="J166">
        <v>0.42</v>
      </c>
      <c r="K166">
        <f t="shared" si="23"/>
        <v>29640.66</v>
      </c>
      <c r="L166" t="s">
        <v>37</v>
      </c>
      <c r="M166" t="s">
        <v>38</v>
      </c>
      <c r="N166">
        <f t="shared" si="24"/>
        <v>8816.3179104000028</v>
      </c>
      <c r="O166">
        <f t="shared" si="25"/>
        <v>3.7729981401440425E-2</v>
      </c>
      <c r="P166" t="s">
        <v>39</v>
      </c>
      <c r="Q166">
        <f t="shared" si="26"/>
        <v>0.57699120060079634</v>
      </c>
      <c r="R166">
        <f t="shared" si="27"/>
        <v>40720</v>
      </c>
      <c r="S166">
        <f t="shared" si="28"/>
        <v>40720</v>
      </c>
      <c r="T166">
        <v>40720</v>
      </c>
      <c r="U166">
        <f t="shared" si="29"/>
        <v>0</v>
      </c>
      <c r="V166">
        <v>1</v>
      </c>
      <c r="W166">
        <v>0.22500000000000001</v>
      </c>
      <c r="X166">
        <f t="shared" si="30"/>
        <v>9162</v>
      </c>
      <c r="Y166">
        <f t="shared" si="31"/>
        <v>9162</v>
      </c>
      <c r="Z166">
        <f t="shared" si="32"/>
        <v>0</v>
      </c>
      <c r="AB166" t="s">
        <v>40</v>
      </c>
    </row>
    <row r="167" spans="1:28" x14ac:dyDescent="0.25">
      <c r="A167" t="s">
        <v>106</v>
      </c>
      <c r="D167" t="s">
        <v>203</v>
      </c>
      <c r="E167" t="s">
        <v>36</v>
      </c>
      <c r="F167">
        <v>42246</v>
      </c>
      <c r="G167">
        <v>42246</v>
      </c>
      <c r="H167">
        <v>1</v>
      </c>
      <c r="I167">
        <f t="shared" si="22"/>
        <v>0</v>
      </c>
      <c r="J167">
        <v>0.42</v>
      </c>
      <c r="K167">
        <f t="shared" si="23"/>
        <v>17743.32</v>
      </c>
      <c r="L167" t="s">
        <v>37</v>
      </c>
      <c r="M167" t="s">
        <v>38</v>
      </c>
      <c r="N167">
        <f t="shared" si="24"/>
        <v>5277.5731008000002</v>
      </c>
      <c r="O167">
        <f t="shared" si="25"/>
        <v>3.6719488788500981E-2</v>
      </c>
      <c r="P167" t="s">
        <v>39</v>
      </c>
      <c r="Q167">
        <f t="shared" si="26"/>
        <v>0.5763859300288785</v>
      </c>
      <c r="R167">
        <f t="shared" si="27"/>
        <v>24350</v>
      </c>
      <c r="S167">
        <f t="shared" si="28"/>
        <v>24350</v>
      </c>
      <c r="T167">
        <v>24350</v>
      </c>
      <c r="U167">
        <f t="shared" si="29"/>
        <v>0</v>
      </c>
      <c r="V167">
        <v>1</v>
      </c>
      <c r="W167">
        <v>0.22500000000000001</v>
      </c>
      <c r="X167">
        <f t="shared" si="30"/>
        <v>5478.75</v>
      </c>
      <c r="Y167">
        <f t="shared" si="31"/>
        <v>5478.75</v>
      </c>
      <c r="Z167">
        <f t="shared" si="32"/>
        <v>0</v>
      </c>
      <c r="AB167" t="s">
        <v>40</v>
      </c>
    </row>
    <row r="168" spans="1:28" x14ac:dyDescent="0.25">
      <c r="A168" t="s">
        <v>106</v>
      </c>
      <c r="D168" t="s">
        <v>204</v>
      </c>
      <c r="E168" t="s">
        <v>36</v>
      </c>
      <c r="F168">
        <v>73650</v>
      </c>
      <c r="G168">
        <v>73650</v>
      </c>
      <c r="H168">
        <v>1</v>
      </c>
      <c r="I168">
        <f t="shared" si="22"/>
        <v>0</v>
      </c>
      <c r="J168">
        <v>0.42</v>
      </c>
      <c r="K168">
        <f t="shared" si="23"/>
        <v>30933</v>
      </c>
      <c r="L168" t="s">
        <v>37</v>
      </c>
      <c r="M168" t="s">
        <v>38</v>
      </c>
      <c r="N168">
        <f t="shared" si="24"/>
        <v>9200.7115200000026</v>
      </c>
      <c r="O168">
        <f t="shared" si="25"/>
        <v>3.715443371791826E-2</v>
      </c>
      <c r="P168" t="s">
        <v>39</v>
      </c>
      <c r="Q168">
        <f t="shared" si="26"/>
        <v>0.57664630006788864</v>
      </c>
      <c r="R168">
        <f t="shared" si="27"/>
        <v>42470</v>
      </c>
      <c r="S168">
        <f t="shared" si="28"/>
        <v>42470</v>
      </c>
      <c r="T168">
        <v>42470</v>
      </c>
      <c r="U168">
        <f t="shared" si="29"/>
        <v>0</v>
      </c>
      <c r="V168">
        <v>1</v>
      </c>
      <c r="W168">
        <v>0.22500000000000001</v>
      </c>
      <c r="X168">
        <f t="shared" si="30"/>
        <v>9555.75</v>
      </c>
      <c r="Y168">
        <f t="shared" si="31"/>
        <v>9555.75</v>
      </c>
      <c r="Z168">
        <f t="shared" si="32"/>
        <v>0</v>
      </c>
      <c r="AB168" t="s">
        <v>40</v>
      </c>
    </row>
    <row r="169" spans="1:28" x14ac:dyDescent="0.25">
      <c r="A169" t="s">
        <v>106</v>
      </c>
      <c r="D169" t="s">
        <v>205</v>
      </c>
      <c r="E169" t="s">
        <v>36</v>
      </c>
      <c r="F169">
        <v>42246</v>
      </c>
      <c r="G169">
        <v>42246</v>
      </c>
      <c r="H169">
        <v>1</v>
      </c>
      <c r="I169">
        <f t="shared" si="22"/>
        <v>0</v>
      </c>
      <c r="J169">
        <v>0.42</v>
      </c>
      <c r="K169">
        <f t="shared" si="23"/>
        <v>17743.32</v>
      </c>
      <c r="L169" t="s">
        <v>37</v>
      </c>
      <c r="M169" t="s">
        <v>38</v>
      </c>
      <c r="N169">
        <f t="shared" si="24"/>
        <v>5277.5731008000002</v>
      </c>
      <c r="O169">
        <f t="shared" si="25"/>
        <v>3.6719488788500981E-2</v>
      </c>
      <c r="P169" t="s">
        <v>39</v>
      </c>
      <c r="Q169">
        <f t="shared" si="26"/>
        <v>0.5763859300288785</v>
      </c>
      <c r="R169">
        <f t="shared" si="27"/>
        <v>24350</v>
      </c>
      <c r="S169">
        <f t="shared" si="28"/>
        <v>24350</v>
      </c>
      <c r="T169">
        <v>24350</v>
      </c>
      <c r="U169">
        <f t="shared" si="29"/>
        <v>0</v>
      </c>
      <c r="V169">
        <v>1</v>
      </c>
      <c r="W169">
        <v>0.22500000000000001</v>
      </c>
      <c r="X169">
        <f t="shared" si="30"/>
        <v>5478.75</v>
      </c>
      <c r="Y169">
        <f t="shared" si="31"/>
        <v>5478.75</v>
      </c>
      <c r="Z169">
        <f t="shared" si="32"/>
        <v>0</v>
      </c>
      <c r="AB169" t="s">
        <v>40</v>
      </c>
    </row>
    <row r="170" spans="1:28" x14ac:dyDescent="0.25">
      <c r="A170" t="s">
        <v>106</v>
      </c>
      <c r="D170" t="s">
        <v>206</v>
      </c>
      <c r="E170" t="s">
        <v>36</v>
      </c>
      <c r="F170">
        <v>73650</v>
      </c>
      <c r="G170">
        <v>73650</v>
      </c>
      <c r="H170">
        <v>1</v>
      </c>
      <c r="I170">
        <f t="shared" si="22"/>
        <v>0</v>
      </c>
      <c r="J170">
        <v>0.42</v>
      </c>
      <c r="K170">
        <f t="shared" si="23"/>
        <v>30933</v>
      </c>
      <c r="L170" t="s">
        <v>37</v>
      </c>
      <c r="M170" t="s">
        <v>38</v>
      </c>
      <c r="N170">
        <f t="shared" si="24"/>
        <v>9200.7115200000026</v>
      </c>
      <c r="O170">
        <f t="shared" si="25"/>
        <v>3.715443371791826E-2</v>
      </c>
      <c r="P170" t="s">
        <v>39</v>
      </c>
      <c r="Q170">
        <f t="shared" si="26"/>
        <v>0.57664630006788864</v>
      </c>
      <c r="R170">
        <f t="shared" si="27"/>
        <v>42470</v>
      </c>
      <c r="S170">
        <f t="shared" si="28"/>
        <v>42470</v>
      </c>
      <c r="T170">
        <v>42470</v>
      </c>
      <c r="U170">
        <f t="shared" si="29"/>
        <v>0</v>
      </c>
      <c r="V170">
        <v>1</v>
      </c>
      <c r="W170">
        <v>0.22500000000000001</v>
      </c>
      <c r="X170">
        <f t="shared" si="30"/>
        <v>9555.75</v>
      </c>
      <c r="Y170">
        <f t="shared" si="31"/>
        <v>9555.75</v>
      </c>
      <c r="Z170">
        <f t="shared" si="32"/>
        <v>0</v>
      </c>
      <c r="AB170" t="s">
        <v>40</v>
      </c>
    </row>
    <row r="171" spans="1:28" x14ac:dyDescent="0.25">
      <c r="A171" t="s">
        <v>106</v>
      </c>
      <c r="D171" t="s">
        <v>207</v>
      </c>
      <c r="E171" t="s">
        <v>36</v>
      </c>
      <c r="F171">
        <v>44554</v>
      </c>
      <c r="G171">
        <v>44554</v>
      </c>
      <c r="H171">
        <v>1</v>
      </c>
      <c r="I171">
        <f t="shared" si="22"/>
        <v>0</v>
      </c>
      <c r="J171">
        <v>0.42</v>
      </c>
      <c r="K171">
        <f t="shared" si="23"/>
        <v>18712.68</v>
      </c>
      <c r="L171" t="s">
        <v>37</v>
      </c>
      <c r="M171" t="s">
        <v>38</v>
      </c>
      <c r="N171">
        <f t="shared" si="24"/>
        <v>5565.8995392000006</v>
      </c>
      <c r="O171">
        <f t="shared" si="25"/>
        <v>3.595747134320592E-2</v>
      </c>
      <c r="P171" t="s">
        <v>39</v>
      </c>
      <c r="Q171">
        <f t="shared" si="26"/>
        <v>0.57593033173227992</v>
      </c>
      <c r="R171">
        <f t="shared" si="27"/>
        <v>25660</v>
      </c>
      <c r="S171">
        <f t="shared" si="28"/>
        <v>25660</v>
      </c>
      <c r="T171">
        <v>25660</v>
      </c>
      <c r="U171">
        <f t="shared" si="29"/>
        <v>0</v>
      </c>
      <c r="V171">
        <v>1</v>
      </c>
      <c r="W171">
        <v>0.22500000000000001</v>
      </c>
      <c r="X171">
        <f t="shared" si="30"/>
        <v>5773.5</v>
      </c>
      <c r="Y171">
        <f t="shared" si="31"/>
        <v>5773.5</v>
      </c>
      <c r="Z171">
        <f t="shared" si="32"/>
        <v>0</v>
      </c>
      <c r="AB171" t="s">
        <v>40</v>
      </c>
    </row>
    <row r="172" spans="1:28" x14ac:dyDescent="0.25">
      <c r="A172" t="s">
        <v>106</v>
      </c>
      <c r="D172" t="s">
        <v>208</v>
      </c>
      <c r="E172" t="s">
        <v>36</v>
      </c>
      <c r="F172">
        <v>75765</v>
      </c>
      <c r="G172">
        <v>75765</v>
      </c>
      <c r="H172">
        <v>1</v>
      </c>
      <c r="I172">
        <f t="shared" si="22"/>
        <v>0</v>
      </c>
      <c r="J172">
        <v>0.42</v>
      </c>
      <c r="K172">
        <f t="shared" si="23"/>
        <v>31821.3</v>
      </c>
      <c r="L172" t="s">
        <v>37</v>
      </c>
      <c r="M172" t="s">
        <v>38</v>
      </c>
      <c r="N172">
        <f t="shared" si="24"/>
        <v>9464.9274720000012</v>
      </c>
      <c r="O172">
        <f t="shared" si="25"/>
        <v>4.0457474452554619E-2</v>
      </c>
      <c r="P172" t="s">
        <v>39</v>
      </c>
      <c r="Q172">
        <f t="shared" si="26"/>
        <v>0.57863129413317493</v>
      </c>
      <c r="R172">
        <f t="shared" si="27"/>
        <v>43840</v>
      </c>
      <c r="S172">
        <f t="shared" si="28"/>
        <v>43840</v>
      </c>
      <c r="T172">
        <v>43840</v>
      </c>
      <c r="U172">
        <f t="shared" si="29"/>
        <v>0</v>
      </c>
      <c r="V172">
        <v>1</v>
      </c>
      <c r="W172">
        <v>0.22500000000000001</v>
      </c>
      <c r="X172">
        <f t="shared" si="30"/>
        <v>9864</v>
      </c>
      <c r="Y172">
        <f t="shared" si="31"/>
        <v>9864</v>
      </c>
      <c r="Z172">
        <f t="shared" si="32"/>
        <v>0</v>
      </c>
      <c r="AB172" t="s">
        <v>40</v>
      </c>
    </row>
    <row r="173" spans="1:28" x14ac:dyDescent="0.25">
      <c r="A173" t="s">
        <v>106</v>
      </c>
      <c r="D173" t="s">
        <v>209</v>
      </c>
      <c r="E173" t="s">
        <v>36</v>
      </c>
      <c r="F173">
        <v>44554</v>
      </c>
      <c r="G173">
        <v>44554</v>
      </c>
      <c r="H173">
        <v>1</v>
      </c>
      <c r="I173">
        <f t="shared" si="22"/>
        <v>0</v>
      </c>
      <c r="J173">
        <v>0.42</v>
      </c>
      <c r="K173">
        <f t="shared" si="23"/>
        <v>18712.68</v>
      </c>
      <c r="L173" t="s">
        <v>37</v>
      </c>
      <c r="M173" t="s">
        <v>38</v>
      </c>
      <c r="N173">
        <f t="shared" si="24"/>
        <v>5565.8995392000006</v>
      </c>
      <c r="O173">
        <f t="shared" si="25"/>
        <v>3.595747134320592E-2</v>
      </c>
      <c r="P173" t="s">
        <v>39</v>
      </c>
      <c r="Q173">
        <f t="shared" si="26"/>
        <v>0.57593033173227992</v>
      </c>
      <c r="R173">
        <f t="shared" si="27"/>
        <v>25660</v>
      </c>
      <c r="S173">
        <f t="shared" si="28"/>
        <v>25660</v>
      </c>
      <c r="T173">
        <v>25660</v>
      </c>
      <c r="U173">
        <f t="shared" si="29"/>
        <v>0</v>
      </c>
      <c r="V173">
        <v>1</v>
      </c>
      <c r="W173">
        <v>0.22500000000000001</v>
      </c>
      <c r="X173">
        <f t="shared" si="30"/>
        <v>5773.5</v>
      </c>
      <c r="Y173">
        <f t="shared" si="31"/>
        <v>5773.5</v>
      </c>
      <c r="Z173">
        <f t="shared" si="32"/>
        <v>0</v>
      </c>
      <c r="AB173" t="s">
        <v>40</v>
      </c>
    </row>
    <row r="174" spans="1:28" x14ac:dyDescent="0.25">
      <c r="A174" t="s">
        <v>106</v>
      </c>
      <c r="D174" t="s">
        <v>210</v>
      </c>
      <c r="E174" t="s">
        <v>36</v>
      </c>
      <c r="F174">
        <v>75765</v>
      </c>
      <c r="G174">
        <v>75765</v>
      </c>
      <c r="H174">
        <v>1</v>
      </c>
      <c r="I174">
        <f t="shared" si="22"/>
        <v>0</v>
      </c>
      <c r="J174">
        <v>0.42</v>
      </c>
      <c r="K174">
        <f t="shared" si="23"/>
        <v>31821.3</v>
      </c>
      <c r="L174" t="s">
        <v>37</v>
      </c>
      <c r="M174" t="s">
        <v>38</v>
      </c>
      <c r="N174">
        <f t="shared" si="24"/>
        <v>9464.9274720000012</v>
      </c>
      <c r="O174">
        <f t="shared" si="25"/>
        <v>4.0457474452554619E-2</v>
      </c>
      <c r="P174" t="s">
        <v>39</v>
      </c>
      <c r="Q174">
        <f t="shared" si="26"/>
        <v>0.57863129413317493</v>
      </c>
      <c r="R174">
        <f t="shared" si="27"/>
        <v>43840</v>
      </c>
      <c r="S174">
        <f t="shared" si="28"/>
        <v>43840</v>
      </c>
      <c r="T174">
        <v>43840</v>
      </c>
      <c r="U174">
        <f t="shared" si="29"/>
        <v>0</v>
      </c>
      <c r="V174">
        <v>1</v>
      </c>
      <c r="W174">
        <v>0.22500000000000001</v>
      </c>
      <c r="X174">
        <f t="shared" si="30"/>
        <v>9864</v>
      </c>
      <c r="Y174">
        <f t="shared" si="31"/>
        <v>9864</v>
      </c>
      <c r="Z174">
        <f t="shared" si="32"/>
        <v>0</v>
      </c>
      <c r="AB174" t="s">
        <v>40</v>
      </c>
    </row>
    <row r="175" spans="1:28" x14ac:dyDescent="0.25">
      <c r="A175" t="s">
        <v>106</v>
      </c>
      <c r="D175" t="s">
        <v>211</v>
      </c>
      <c r="E175" t="s">
        <v>36</v>
      </c>
      <c r="F175">
        <v>51285</v>
      </c>
      <c r="G175">
        <v>51285</v>
      </c>
      <c r="H175">
        <v>1</v>
      </c>
      <c r="I175">
        <f t="shared" si="22"/>
        <v>0</v>
      </c>
      <c r="J175">
        <v>0.42</v>
      </c>
      <c r="K175">
        <f t="shared" si="23"/>
        <v>21539.7</v>
      </c>
      <c r="L175" t="s">
        <v>37</v>
      </c>
      <c r="M175" t="s">
        <v>38</v>
      </c>
      <c r="N175">
        <f t="shared" si="24"/>
        <v>6406.7683680000009</v>
      </c>
      <c r="O175">
        <f t="shared" si="25"/>
        <v>3.964498887015163E-2</v>
      </c>
      <c r="P175" t="s">
        <v>39</v>
      </c>
      <c r="Q175">
        <f t="shared" si="26"/>
        <v>0.57814175684898117</v>
      </c>
      <c r="R175">
        <f t="shared" si="27"/>
        <v>29650</v>
      </c>
      <c r="S175">
        <f t="shared" si="28"/>
        <v>29650</v>
      </c>
      <c r="T175">
        <v>29650</v>
      </c>
      <c r="U175">
        <f t="shared" si="29"/>
        <v>0</v>
      </c>
      <c r="V175">
        <v>1</v>
      </c>
      <c r="W175">
        <v>0.22500000000000001</v>
      </c>
      <c r="X175">
        <f t="shared" si="30"/>
        <v>6671.25</v>
      </c>
      <c r="Y175">
        <f t="shared" si="31"/>
        <v>6671.25</v>
      </c>
      <c r="Z175">
        <f t="shared" si="32"/>
        <v>0</v>
      </c>
      <c r="AB175" t="s">
        <v>40</v>
      </c>
    </row>
    <row r="176" spans="1:28" x14ac:dyDescent="0.25">
      <c r="A176" t="s">
        <v>106</v>
      </c>
      <c r="D176" t="s">
        <v>212</v>
      </c>
      <c r="E176" t="s">
        <v>36</v>
      </c>
      <c r="F176">
        <v>82496</v>
      </c>
      <c r="G176">
        <v>82496</v>
      </c>
      <c r="H176">
        <v>1</v>
      </c>
      <c r="I176">
        <f t="shared" si="22"/>
        <v>0</v>
      </c>
      <c r="J176">
        <v>0.42</v>
      </c>
      <c r="K176">
        <f t="shared" si="23"/>
        <v>34648.32</v>
      </c>
      <c r="L176" t="s">
        <v>37</v>
      </c>
      <c r="M176" t="s">
        <v>38</v>
      </c>
      <c r="N176">
        <f t="shared" si="24"/>
        <v>10305.796300800002</v>
      </c>
      <c r="O176">
        <f t="shared" si="25"/>
        <v>3.6526312270368587E-2</v>
      </c>
      <c r="P176" t="s">
        <v>39</v>
      </c>
      <c r="Q176">
        <f t="shared" si="26"/>
        <v>0.57627036462373937</v>
      </c>
      <c r="R176">
        <f t="shared" si="27"/>
        <v>47540</v>
      </c>
      <c r="S176">
        <f t="shared" si="28"/>
        <v>47540</v>
      </c>
      <c r="T176">
        <v>47540</v>
      </c>
      <c r="U176">
        <f t="shared" si="29"/>
        <v>0</v>
      </c>
      <c r="V176">
        <v>1</v>
      </c>
      <c r="W176">
        <v>0.22500000000000001</v>
      </c>
      <c r="X176">
        <f t="shared" si="30"/>
        <v>10696.5</v>
      </c>
      <c r="Y176">
        <f t="shared" si="31"/>
        <v>10696.5</v>
      </c>
      <c r="Z176">
        <f t="shared" si="32"/>
        <v>0</v>
      </c>
      <c r="AB176" t="s">
        <v>40</v>
      </c>
    </row>
    <row r="177" spans="1:28" x14ac:dyDescent="0.25">
      <c r="A177" t="s">
        <v>106</v>
      </c>
      <c r="D177" t="s">
        <v>213</v>
      </c>
      <c r="E177" t="s">
        <v>36</v>
      </c>
      <c r="F177">
        <v>58208</v>
      </c>
      <c r="G177">
        <v>58208</v>
      </c>
      <c r="H177">
        <v>1</v>
      </c>
      <c r="I177">
        <f t="shared" si="22"/>
        <v>0</v>
      </c>
      <c r="J177">
        <v>0.42</v>
      </c>
      <c r="K177">
        <f t="shared" si="23"/>
        <v>24447.360000000001</v>
      </c>
      <c r="L177" t="s">
        <v>37</v>
      </c>
      <c r="M177" t="s">
        <v>38</v>
      </c>
      <c r="N177">
        <f t="shared" si="24"/>
        <v>7271.6227584000007</v>
      </c>
      <c r="O177">
        <f t="shared" si="25"/>
        <v>3.9003170661115971E-2</v>
      </c>
      <c r="P177" t="s">
        <v>39</v>
      </c>
      <c r="Q177">
        <f t="shared" si="26"/>
        <v>0.57775563496426607</v>
      </c>
      <c r="R177">
        <f t="shared" si="27"/>
        <v>33630</v>
      </c>
      <c r="S177">
        <f t="shared" si="28"/>
        <v>33630</v>
      </c>
      <c r="T177">
        <v>33630</v>
      </c>
      <c r="U177">
        <f t="shared" si="29"/>
        <v>0</v>
      </c>
      <c r="V177">
        <v>1</v>
      </c>
      <c r="W177">
        <v>0.22500000000000001</v>
      </c>
      <c r="X177">
        <f t="shared" si="30"/>
        <v>7566.75</v>
      </c>
      <c r="Y177">
        <f t="shared" si="31"/>
        <v>7566.75</v>
      </c>
      <c r="Z177">
        <f t="shared" si="32"/>
        <v>0</v>
      </c>
      <c r="AB177" t="s">
        <v>40</v>
      </c>
    </row>
    <row r="178" spans="1:28" x14ac:dyDescent="0.25">
      <c r="A178" t="s">
        <v>106</v>
      </c>
      <c r="D178" t="s">
        <v>214</v>
      </c>
      <c r="E178" t="s">
        <v>36</v>
      </c>
      <c r="F178">
        <v>89804</v>
      </c>
      <c r="G178">
        <v>89804</v>
      </c>
      <c r="H178">
        <v>1</v>
      </c>
      <c r="I178">
        <f t="shared" si="22"/>
        <v>0</v>
      </c>
      <c r="J178">
        <v>0.42</v>
      </c>
      <c r="K178">
        <f t="shared" si="23"/>
        <v>37717.68</v>
      </c>
      <c r="L178" t="s">
        <v>37</v>
      </c>
      <c r="M178" t="s">
        <v>38</v>
      </c>
      <c r="N178">
        <f t="shared" si="24"/>
        <v>11218.746739200002</v>
      </c>
      <c r="O178">
        <f t="shared" si="25"/>
        <v>3.7616355555555259E-2</v>
      </c>
      <c r="P178" t="s">
        <v>39</v>
      </c>
      <c r="Q178">
        <f t="shared" si="26"/>
        <v>0.57692307692307687</v>
      </c>
      <c r="R178">
        <f t="shared" si="27"/>
        <v>51809.999999999993</v>
      </c>
      <c r="S178">
        <f t="shared" si="28"/>
        <v>51809.999999999993</v>
      </c>
      <c r="T178">
        <v>51810</v>
      </c>
      <c r="U178">
        <f t="shared" si="29"/>
        <v>1.4043539112494552E-16</v>
      </c>
      <c r="V178">
        <v>1</v>
      </c>
      <c r="W178">
        <v>0.22500000000000001</v>
      </c>
      <c r="X178">
        <f t="shared" si="30"/>
        <v>11657.249999999998</v>
      </c>
      <c r="Y178">
        <f t="shared" si="31"/>
        <v>11657.249999999998</v>
      </c>
      <c r="Z178">
        <f t="shared" si="32"/>
        <v>0</v>
      </c>
      <c r="AB178" t="s">
        <v>40</v>
      </c>
    </row>
    <row r="179" spans="1:28" x14ac:dyDescent="0.25">
      <c r="A179" t="s">
        <v>106</v>
      </c>
      <c r="D179" t="s">
        <v>215</v>
      </c>
      <c r="E179" t="s">
        <v>36</v>
      </c>
      <c r="F179">
        <v>58208</v>
      </c>
      <c r="G179">
        <v>58208</v>
      </c>
      <c r="H179">
        <v>1</v>
      </c>
      <c r="I179">
        <f t="shared" si="22"/>
        <v>0</v>
      </c>
      <c r="J179">
        <v>0.42</v>
      </c>
      <c r="K179">
        <f t="shared" si="23"/>
        <v>24447.360000000001</v>
      </c>
      <c r="L179" t="s">
        <v>37</v>
      </c>
      <c r="M179" t="s">
        <v>38</v>
      </c>
      <c r="N179">
        <f t="shared" si="24"/>
        <v>7271.6227584000007</v>
      </c>
      <c r="O179">
        <f t="shared" si="25"/>
        <v>3.9003170661115971E-2</v>
      </c>
      <c r="P179" t="s">
        <v>39</v>
      </c>
      <c r="Q179">
        <f t="shared" si="26"/>
        <v>0.57775563496426607</v>
      </c>
      <c r="R179">
        <f t="shared" si="27"/>
        <v>33630</v>
      </c>
      <c r="S179">
        <f t="shared" si="28"/>
        <v>33630</v>
      </c>
      <c r="T179">
        <v>33630</v>
      </c>
      <c r="U179">
        <f t="shared" si="29"/>
        <v>0</v>
      </c>
      <c r="V179">
        <v>1</v>
      </c>
      <c r="W179">
        <v>0.22500000000000001</v>
      </c>
      <c r="X179">
        <f t="shared" si="30"/>
        <v>7566.75</v>
      </c>
      <c r="Y179">
        <f t="shared" si="31"/>
        <v>7566.75</v>
      </c>
      <c r="Z179">
        <f t="shared" si="32"/>
        <v>0</v>
      </c>
      <c r="AB179" t="s">
        <v>40</v>
      </c>
    </row>
    <row r="180" spans="1:28" x14ac:dyDescent="0.25">
      <c r="A180" t="s">
        <v>106</v>
      </c>
      <c r="D180" t="s">
        <v>216</v>
      </c>
      <c r="E180" t="s">
        <v>36</v>
      </c>
      <c r="F180">
        <v>89804</v>
      </c>
      <c r="G180">
        <v>89804</v>
      </c>
      <c r="H180">
        <v>1</v>
      </c>
      <c r="I180">
        <f t="shared" si="22"/>
        <v>0</v>
      </c>
      <c r="J180">
        <v>0.42</v>
      </c>
      <c r="K180">
        <f t="shared" si="23"/>
        <v>37717.68</v>
      </c>
      <c r="L180" t="s">
        <v>37</v>
      </c>
      <c r="M180" t="s">
        <v>38</v>
      </c>
      <c r="N180">
        <f t="shared" si="24"/>
        <v>11218.746739200002</v>
      </c>
      <c r="O180">
        <f t="shared" si="25"/>
        <v>3.7616355555555259E-2</v>
      </c>
      <c r="P180" t="s">
        <v>39</v>
      </c>
      <c r="Q180">
        <f t="shared" si="26"/>
        <v>0.57692307692307687</v>
      </c>
      <c r="R180">
        <f t="shared" si="27"/>
        <v>51809.999999999993</v>
      </c>
      <c r="S180">
        <f t="shared" si="28"/>
        <v>51809.999999999993</v>
      </c>
      <c r="T180">
        <v>51810</v>
      </c>
      <c r="U180">
        <f t="shared" si="29"/>
        <v>1.4043539112494552E-16</v>
      </c>
      <c r="V180">
        <v>1</v>
      </c>
      <c r="W180">
        <v>0.22500000000000001</v>
      </c>
      <c r="X180">
        <f t="shared" si="30"/>
        <v>11657.249999999998</v>
      </c>
      <c r="Y180">
        <f t="shared" si="31"/>
        <v>11657.249999999998</v>
      </c>
      <c r="Z180">
        <f t="shared" si="32"/>
        <v>0</v>
      </c>
      <c r="AB180" t="s">
        <v>40</v>
      </c>
    </row>
    <row r="181" spans="1:28" x14ac:dyDescent="0.25">
      <c r="A181" t="s">
        <v>106</v>
      </c>
      <c r="D181" t="s">
        <v>217</v>
      </c>
      <c r="E181" t="s">
        <v>36</v>
      </c>
      <c r="F181">
        <v>62492</v>
      </c>
      <c r="G181">
        <v>62492</v>
      </c>
      <c r="H181">
        <v>1</v>
      </c>
      <c r="I181">
        <f t="shared" si="22"/>
        <v>0</v>
      </c>
      <c r="J181">
        <v>0.42</v>
      </c>
      <c r="K181">
        <f t="shared" si="23"/>
        <v>26246.639999999999</v>
      </c>
      <c r="L181" t="s">
        <v>37</v>
      </c>
      <c r="M181" t="s">
        <v>38</v>
      </c>
      <c r="N181">
        <f t="shared" si="24"/>
        <v>7806.8006016000008</v>
      </c>
      <c r="O181">
        <f t="shared" si="25"/>
        <v>3.6732605145289553E-2</v>
      </c>
      <c r="P181" t="s">
        <v>39</v>
      </c>
      <c r="Q181">
        <f t="shared" si="26"/>
        <v>0.5763937784036357</v>
      </c>
      <c r="R181">
        <f t="shared" si="27"/>
        <v>36020</v>
      </c>
      <c r="S181">
        <f t="shared" si="28"/>
        <v>36020</v>
      </c>
      <c r="T181">
        <v>36020</v>
      </c>
      <c r="U181">
        <f t="shared" si="29"/>
        <v>0</v>
      </c>
      <c r="V181">
        <v>1</v>
      </c>
      <c r="W181">
        <v>0.22500000000000001</v>
      </c>
      <c r="X181">
        <f t="shared" si="30"/>
        <v>8104.5</v>
      </c>
      <c r="Y181">
        <f t="shared" si="31"/>
        <v>8104.5</v>
      </c>
      <c r="Z181">
        <f t="shared" si="32"/>
        <v>0</v>
      </c>
      <c r="AB181" t="s">
        <v>40</v>
      </c>
    </row>
    <row r="182" spans="1:28" x14ac:dyDescent="0.25">
      <c r="A182" t="s">
        <v>106</v>
      </c>
      <c r="D182" t="s">
        <v>218</v>
      </c>
      <c r="E182" t="s">
        <v>36</v>
      </c>
      <c r="F182">
        <v>95626</v>
      </c>
      <c r="G182">
        <v>95626</v>
      </c>
      <c r="H182">
        <v>1</v>
      </c>
      <c r="I182">
        <f t="shared" si="22"/>
        <v>0</v>
      </c>
      <c r="J182">
        <v>0.42</v>
      </c>
      <c r="K182">
        <f t="shared" si="23"/>
        <v>40162.92</v>
      </c>
      <c r="L182" t="s">
        <v>37</v>
      </c>
      <c r="M182" t="s">
        <v>38</v>
      </c>
      <c r="N182">
        <f t="shared" si="24"/>
        <v>11946.0589248</v>
      </c>
      <c r="O182">
        <f t="shared" si="25"/>
        <v>3.8333721765380697E-2</v>
      </c>
      <c r="P182" t="s">
        <v>39</v>
      </c>
      <c r="Q182">
        <f t="shared" si="26"/>
        <v>0.57735343944115614</v>
      </c>
      <c r="R182">
        <f t="shared" si="27"/>
        <v>55210</v>
      </c>
      <c r="S182">
        <f t="shared" si="28"/>
        <v>55210</v>
      </c>
      <c r="T182">
        <v>55210</v>
      </c>
      <c r="U182">
        <f t="shared" si="29"/>
        <v>0</v>
      </c>
      <c r="V182">
        <v>1</v>
      </c>
      <c r="W182">
        <v>0.22500000000000001</v>
      </c>
      <c r="X182">
        <f t="shared" si="30"/>
        <v>12422.25</v>
      </c>
      <c r="Y182">
        <f t="shared" si="31"/>
        <v>12422.25</v>
      </c>
      <c r="Z182">
        <f t="shared" si="32"/>
        <v>0</v>
      </c>
      <c r="AB182" t="s">
        <v>40</v>
      </c>
    </row>
    <row r="183" spans="1:28" x14ac:dyDescent="0.25">
      <c r="A183" t="s">
        <v>106</v>
      </c>
      <c r="D183" t="s">
        <v>219</v>
      </c>
      <c r="E183" t="s">
        <v>36</v>
      </c>
      <c r="F183">
        <v>59222</v>
      </c>
      <c r="G183">
        <v>59222</v>
      </c>
      <c r="H183">
        <v>1</v>
      </c>
      <c r="I183">
        <f t="shared" si="22"/>
        <v>0</v>
      </c>
      <c r="J183">
        <v>0.42</v>
      </c>
      <c r="K183">
        <f t="shared" si="23"/>
        <v>24873.239999999998</v>
      </c>
      <c r="L183" t="s">
        <v>37</v>
      </c>
      <c r="M183" t="s">
        <v>38</v>
      </c>
      <c r="N183">
        <f t="shared" si="24"/>
        <v>7398.2965056000003</v>
      </c>
      <c r="O183">
        <f t="shared" si="25"/>
        <v>3.8557958986354737E-2</v>
      </c>
      <c r="P183" t="s">
        <v>39</v>
      </c>
      <c r="Q183">
        <f t="shared" si="26"/>
        <v>0.5774880956401337</v>
      </c>
      <c r="R183">
        <f t="shared" si="27"/>
        <v>34200</v>
      </c>
      <c r="S183">
        <f t="shared" si="28"/>
        <v>34200</v>
      </c>
      <c r="T183">
        <v>34200</v>
      </c>
      <c r="U183">
        <f t="shared" si="29"/>
        <v>0</v>
      </c>
      <c r="V183">
        <v>1</v>
      </c>
      <c r="W183">
        <v>0.22500000000000001</v>
      </c>
      <c r="X183">
        <f t="shared" si="30"/>
        <v>7695</v>
      </c>
      <c r="Y183">
        <f t="shared" si="31"/>
        <v>7695</v>
      </c>
      <c r="Z183">
        <f t="shared" si="32"/>
        <v>0</v>
      </c>
      <c r="AB183" t="s">
        <v>40</v>
      </c>
    </row>
    <row r="184" spans="1:28" x14ac:dyDescent="0.25">
      <c r="A184" t="s">
        <v>106</v>
      </c>
      <c r="D184" t="s">
        <v>220</v>
      </c>
      <c r="E184" t="s">
        <v>36</v>
      </c>
      <c r="F184">
        <v>90049</v>
      </c>
      <c r="G184">
        <v>90049</v>
      </c>
      <c r="H184">
        <v>1</v>
      </c>
      <c r="I184">
        <f t="shared" si="22"/>
        <v>0</v>
      </c>
      <c r="J184">
        <v>0.42</v>
      </c>
      <c r="K184">
        <f t="shared" si="23"/>
        <v>37820.58</v>
      </c>
      <c r="L184" t="s">
        <v>37</v>
      </c>
      <c r="M184" t="s">
        <v>38</v>
      </c>
      <c r="N184">
        <f t="shared" si="24"/>
        <v>11249.353315200002</v>
      </c>
      <c r="O184">
        <f t="shared" si="25"/>
        <v>3.7776638850397587E-2</v>
      </c>
      <c r="P184" t="s">
        <v>39</v>
      </c>
      <c r="Q184">
        <f t="shared" si="26"/>
        <v>0.57701917844728978</v>
      </c>
      <c r="R184">
        <f t="shared" si="27"/>
        <v>51960</v>
      </c>
      <c r="S184">
        <f t="shared" si="28"/>
        <v>51960</v>
      </c>
      <c r="T184">
        <v>51960</v>
      </c>
      <c r="U184">
        <f t="shared" si="29"/>
        <v>0</v>
      </c>
      <c r="V184">
        <v>1</v>
      </c>
      <c r="W184">
        <v>0.22500000000000001</v>
      </c>
      <c r="X184">
        <f t="shared" si="30"/>
        <v>11691</v>
      </c>
      <c r="Y184">
        <f t="shared" si="31"/>
        <v>11691</v>
      </c>
      <c r="Z184">
        <f t="shared" si="32"/>
        <v>0</v>
      </c>
      <c r="AB184" t="s">
        <v>40</v>
      </c>
    </row>
    <row r="185" spans="1:28" x14ac:dyDescent="0.25">
      <c r="A185" t="s">
        <v>106</v>
      </c>
      <c r="D185" t="s">
        <v>221</v>
      </c>
      <c r="E185" t="s">
        <v>36</v>
      </c>
      <c r="F185">
        <v>59222</v>
      </c>
      <c r="G185">
        <v>59222</v>
      </c>
      <c r="H185">
        <v>1</v>
      </c>
      <c r="I185">
        <f t="shared" si="22"/>
        <v>0</v>
      </c>
      <c r="J185">
        <v>0.42</v>
      </c>
      <c r="K185">
        <f t="shared" si="23"/>
        <v>24873.239999999998</v>
      </c>
      <c r="L185" t="s">
        <v>37</v>
      </c>
      <c r="M185" t="s">
        <v>38</v>
      </c>
      <c r="N185">
        <f t="shared" si="24"/>
        <v>7398.2965056000003</v>
      </c>
      <c r="O185">
        <f t="shared" si="25"/>
        <v>3.8557958986354737E-2</v>
      </c>
      <c r="P185" t="s">
        <v>39</v>
      </c>
      <c r="Q185">
        <f t="shared" si="26"/>
        <v>0.5774880956401337</v>
      </c>
      <c r="R185">
        <f t="shared" si="27"/>
        <v>34200</v>
      </c>
      <c r="S185">
        <f t="shared" si="28"/>
        <v>34200</v>
      </c>
      <c r="T185">
        <v>34200</v>
      </c>
      <c r="U185">
        <f t="shared" si="29"/>
        <v>0</v>
      </c>
      <c r="V185">
        <v>1</v>
      </c>
      <c r="W185">
        <v>0.22500000000000001</v>
      </c>
      <c r="X185">
        <f t="shared" si="30"/>
        <v>7695</v>
      </c>
      <c r="Y185">
        <f t="shared" si="31"/>
        <v>7695</v>
      </c>
      <c r="Z185">
        <f t="shared" si="32"/>
        <v>0</v>
      </c>
      <c r="AB185" t="s">
        <v>40</v>
      </c>
    </row>
    <row r="186" spans="1:28" x14ac:dyDescent="0.25">
      <c r="A186" t="s">
        <v>106</v>
      </c>
      <c r="D186" t="s">
        <v>222</v>
      </c>
      <c r="E186" t="s">
        <v>36</v>
      </c>
      <c r="F186">
        <v>90049</v>
      </c>
      <c r="G186">
        <v>90049</v>
      </c>
      <c r="H186">
        <v>1</v>
      </c>
      <c r="I186">
        <f t="shared" si="22"/>
        <v>0</v>
      </c>
      <c r="J186">
        <v>0.42</v>
      </c>
      <c r="K186">
        <f t="shared" si="23"/>
        <v>37820.58</v>
      </c>
      <c r="L186" t="s">
        <v>37</v>
      </c>
      <c r="M186" t="s">
        <v>38</v>
      </c>
      <c r="N186">
        <f t="shared" si="24"/>
        <v>11249.353315200002</v>
      </c>
      <c r="O186">
        <f t="shared" si="25"/>
        <v>3.7776638850397587E-2</v>
      </c>
      <c r="P186" t="s">
        <v>39</v>
      </c>
      <c r="Q186">
        <f t="shared" si="26"/>
        <v>0.57701917844728978</v>
      </c>
      <c r="R186">
        <f t="shared" si="27"/>
        <v>51960</v>
      </c>
      <c r="S186">
        <f t="shared" si="28"/>
        <v>51960</v>
      </c>
      <c r="T186">
        <v>51960</v>
      </c>
      <c r="U186">
        <f t="shared" si="29"/>
        <v>0</v>
      </c>
      <c r="V186">
        <v>1</v>
      </c>
      <c r="W186">
        <v>0.22500000000000001</v>
      </c>
      <c r="X186">
        <f t="shared" si="30"/>
        <v>11691</v>
      </c>
      <c r="Y186">
        <f t="shared" si="31"/>
        <v>11691</v>
      </c>
      <c r="Z186">
        <f t="shared" si="32"/>
        <v>0</v>
      </c>
      <c r="AB186" t="s">
        <v>40</v>
      </c>
    </row>
    <row r="187" spans="1:28" x14ac:dyDescent="0.25">
      <c r="A187" t="s">
        <v>106</v>
      </c>
      <c r="D187" t="s">
        <v>223</v>
      </c>
      <c r="E187" t="s">
        <v>36</v>
      </c>
      <c r="F187">
        <v>59222</v>
      </c>
      <c r="G187">
        <v>59222</v>
      </c>
      <c r="H187">
        <v>1</v>
      </c>
      <c r="I187">
        <f t="shared" si="22"/>
        <v>0</v>
      </c>
      <c r="J187">
        <v>0.42</v>
      </c>
      <c r="K187">
        <f t="shared" si="23"/>
        <v>24873.239999999998</v>
      </c>
      <c r="L187" t="s">
        <v>37</v>
      </c>
      <c r="M187" t="s">
        <v>38</v>
      </c>
      <c r="N187">
        <f t="shared" si="24"/>
        <v>7398.2965056000003</v>
      </c>
      <c r="O187">
        <f t="shared" si="25"/>
        <v>3.8557958986354737E-2</v>
      </c>
      <c r="P187" t="s">
        <v>39</v>
      </c>
      <c r="Q187">
        <f t="shared" si="26"/>
        <v>0.5774880956401337</v>
      </c>
      <c r="R187">
        <f t="shared" si="27"/>
        <v>34200</v>
      </c>
      <c r="S187">
        <f t="shared" si="28"/>
        <v>34200</v>
      </c>
      <c r="T187">
        <v>34200</v>
      </c>
      <c r="U187">
        <f t="shared" si="29"/>
        <v>0</v>
      </c>
      <c r="V187">
        <v>1</v>
      </c>
      <c r="W187">
        <v>0.22500000000000001</v>
      </c>
      <c r="X187">
        <f t="shared" si="30"/>
        <v>7695</v>
      </c>
      <c r="Y187">
        <f t="shared" si="31"/>
        <v>7695</v>
      </c>
      <c r="Z187">
        <f t="shared" si="32"/>
        <v>0</v>
      </c>
      <c r="AB187" t="s">
        <v>40</v>
      </c>
    </row>
    <row r="188" spans="1:28" x14ac:dyDescent="0.25">
      <c r="A188" t="s">
        <v>106</v>
      </c>
      <c r="D188" t="s">
        <v>224</v>
      </c>
      <c r="E188" t="s">
        <v>36</v>
      </c>
      <c r="F188">
        <v>90049</v>
      </c>
      <c r="G188">
        <v>90049</v>
      </c>
      <c r="H188">
        <v>1</v>
      </c>
      <c r="I188">
        <f t="shared" si="22"/>
        <v>0</v>
      </c>
      <c r="J188">
        <v>0.42</v>
      </c>
      <c r="K188">
        <f t="shared" si="23"/>
        <v>37820.58</v>
      </c>
      <c r="L188" t="s">
        <v>37</v>
      </c>
      <c r="M188" t="s">
        <v>38</v>
      </c>
      <c r="N188">
        <f t="shared" si="24"/>
        <v>11249.353315200002</v>
      </c>
      <c r="O188">
        <f t="shared" si="25"/>
        <v>3.7776638850397587E-2</v>
      </c>
      <c r="P188" t="s">
        <v>39</v>
      </c>
      <c r="Q188">
        <f t="shared" si="26"/>
        <v>0.57701917844728978</v>
      </c>
      <c r="R188">
        <f t="shared" si="27"/>
        <v>51960</v>
      </c>
      <c r="S188">
        <f t="shared" si="28"/>
        <v>51960</v>
      </c>
      <c r="T188">
        <v>51960</v>
      </c>
      <c r="U188">
        <f t="shared" si="29"/>
        <v>0</v>
      </c>
      <c r="V188">
        <v>1</v>
      </c>
      <c r="W188">
        <v>0.22500000000000001</v>
      </c>
      <c r="X188">
        <f t="shared" si="30"/>
        <v>11691</v>
      </c>
      <c r="Y188">
        <f t="shared" si="31"/>
        <v>11691</v>
      </c>
      <c r="Z188">
        <f t="shared" si="32"/>
        <v>0</v>
      </c>
      <c r="AB188" t="s">
        <v>40</v>
      </c>
    </row>
    <row r="189" spans="1:28" x14ac:dyDescent="0.25">
      <c r="A189" t="s">
        <v>106</v>
      </c>
      <c r="D189" t="s">
        <v>225</v>
      </c>
      <c r="E189" t="s">
        <v>36</v>
      </c>
      <c r="F189">
        <v>62492</v>
      </c>
      <c r="G189">
        <v>62492</v>
      </c>
      <c r="H189">
        <v>1</v>
      </c>
      <c r="I189">
        <f t="shared" si="22"/>
        <v>0</v>
      </c>
      <c r="J189">
        <v>0.42</v>
      </c>
      <c r="K189">
        <f t="shared" si="23"/>
        <v>26246.639999999999</v>
      </c>
      <c r="L189" t="s">
        <v>37</v>
      </c>
      <c r="M189" t="s">
        <v>38</v>
      </c>
      <c r="N189">
        <f t="shared" si="24"/>
        <v>7806.8006016000008</v>
      </c>
      <c r="O189">
        <f t="shared" si="25"/>
        <v>3.6732605145289553E-2</v>
      </c>
      <c r="P189" t="s">
        <v>39</v>
      </c>
      <c r="Q189">
        <f t="shared" si="26"/>
        <v>0.5763937784036357</v>
      </c>
      <c r="R189">
        <f t="shared" si="27"/>
        <v>36020</v>
      </c>
      <c r="S189">
        <f t="shared" si="28"/>
        <v>36020</v>
      </c>
      <c r="T189">
        <v>36020</v>
      </c>
      <c r="U189">
        <f t="shared" si="29"/>
        <v>0</v>
      </c>
      <c r="V189">
        <v>1</v>
      </c>
      <c r="W189">
        <v>0.22500000000000001</v>
      </c>
      <c r="X189">
        <f t="shared" si="30"/>
        <v>8104.5</v>
      </c>
      <c r="Y189">
        <f t="shared" si="31"/>
        <v>8104.5</v>
      </c>
      <c r="Z189">
        <f t="shared" si="32"/>
        <v>0</v>
      </c>
      <c r="AB189" t="s">
        <v>40</v>
      </c>
    </row>
    <row r="190" spans="1:28" x14ac:dyDescent="0.25">
      <c r="A190" t="s">
        <v>106</v>
      </c>
      <c r="D190" t="s">
        <v>226</v>
      </c>
      <c r="E190" t="s">
        <v>36</v>
      </c>
      <c r="F190">
        <v>95626</v>
      </c>
      <c r="G190">
        <v>95626</v>
      </c>
      <c r="H190">
        <v>1</v>
      </c>
      <c r="I190">
        <f t="shared" si="22"/>
        <v>0</v>
      </c>
      <c r="J190">
        <v>0.42</v>
      </c>
      <c r="K190">
        <f t="shared" si="23"/>
        <v>40162.92</v>
      </c>
      <c r="L190" t="s">
        <v>37</v>
      </c>
      <c r="M190" t="s">
        <v>38</v>
      </c>
      <c r="N190">
        <f t="shared" si="24"/>
        <v>11946.0589248</v>
      </c>
      <c r="O190">
        <f t="shared" si="25"/>
        <v>3.8333721765380697E-2</v>
      </c>
      <c r="P190" t="s">
        <v>39</v>
      </c>
      <c r="Q190">
        <f t="shared" si="26"/>
        <v>0.57735343944115614</v>
      </c>
      <c r="R190">
        <f t="shared" si="27"/>
        <v>55210</v>
      </c>
      <c r="S190">
        <f t="shared" si="28"/>
        <v>55210</v>
      </c>
      <c r="T190">
        <v>55210</v>
      </c>
      <c r="U190">
        <f t="shared" si="29"/>
        <v>0</v>
      </c>
      <c r="V190">
        <v>1</v>
      </c>
      <c r="W190">
        <v>0.22500000000000001</v>
      </c>
      <c r="X190">
        <f t="shared" si="30"/>
        <v>12422.25</v>
      </c>
      <c r="Y190">
        <f t="shared" si="31"/>
        <v>12422.25</v>
      </c>
      <c r="Z190">
        <f t="shared" si="32"/>
        <v>0</v>
      </c>
      <c r="AB190" t="s">
        <v>40</v>
      </c>
    </row>
    <row r="191" spans="1:28" x14ac:dyDescent="0.25">
      <c r="A191" t="s">
        <v>106</v>
      </c>
      <c r="D191" t="s">
        <v>227</v>
      </c>
      <c r="E191" t="s">
        <v>36</v>
      </c>
      <c r="F191">
        <v>62492</v>
      </c>
      <c r="G191">
        <v>62492</v>
      </c>
      <c r="H191">
        <v>1</v>
      </c>
      <c r="I191">
        <f t="shared" si="22"/>
        <v>0</v>
      </c>
      <c r="J191">
        <v>0.42</v>
      </c>
      <c r="K191">
        <f t="shared" si="23"/>
        <v>26246.639999999999</v>
      </c>
      <c r="L191" t="s">
        <v>37</v>
      </c>
      <c r="M191" t="s">
        <v>38</v>
      </c>
      <c r="N191">
        <f t="shared" si="24"/>
        <v>7806.8006016000008</v>
      </c>
      <c r="O191">
        <f t="shared" si="25"/>
        <v>3.6732605145289553E-2</v>
      </c>
      <c r="P191" t="s">
        <v>39</v>
      </c>
      <c r="Q191">
        <f t="shared" si="26"/>
        <v>0.5763937784036357</v>
      </c>
      <c r="R191">
        <f t="shared" si="27"/>
        <v>36020</v>
      </c>
      <c r="S191">
        <f t="shared" si="28"/>
        <v>36020</v>
      </c>
      <c r="T191">
        <v>36020</v>
      </c>
      <c r="U191">
        <f t="shared" si="29"/>
        <v>0</v>
      </c>
      <c r="V191">
        <v>1</v>
      </c>
      <c r="W191">
        <v>0.22500000000000001</v>
      </c>
      <c r="X191">
        <f t="shared" si="30"/>
        <v>8104.5</v>
      </c>
      <c r="Y191">
        <f t="shared" si="31"/>
        <v>8104.5</v>
      </c>
      <c r="Z191">
        <f t="shared" si="32"/>
        <v>0</v>
      </c>
      <c r="AB191" t="s">
        <v>40</v>
      </c>
    </row>
    <row r="192" spans="1:28" x14ac:dyDescent="0.25">
      <c r="A192" t="s">
        <v>106</v>
      </c>
      <c r="D192" t="s">
        <v>228</v>
      </c>
      <c r="E192" t="s">
        <v>36</v>
      </c>
      <c r="F192">
        <v>95626</v>
      </c>
      <c r="G192">
        <v>95626</v>
      </c>
      <c r="H192">
        <v>1</v>
      </c>
      <c r="I192">
        <f t="shared" si="22"/>
        <v>0</v>
      </c>
      <c r="J192">
        <v>0.42</v>
      </c>
      <c r="K192">
        <f t="shared" si="23"/>
        <v>40162.92</v>
      </c>
      <c r="L192" t="s">
        <v>37</v>
      </c>
      <c r="M192" t="s">
        <v>38</v>
      </c>
      <c r="N192">
        <f t="shared" si="24"/>
        <v>11946.0589248</v>
      </c>
      <c r="O192">
        <f t="shared" si="25"/>
        <v>3.8333721765380697E-2</v>
      </c>
      <c r="P192" t="s">
        <v>39</v>
      </c>
      <c r="Q192">
        <f t="shared" si="26"/>
        <v>0.57735343944115614</v>
      </c>
      <c r="R192">
        <f t="shared" si="27"/>
        <v>55210</v>
      </c>
      <c r="S192">
        <f t="shared" si="28"/>
        <v>55210</v>
      </c>
      <c r="T192">
        <v>55210</v>
      </c>
      <c r="U192">
        <f t="shared" si="29"/>
        <v>0</v>
      </c>
      <c r="V192">
        <v>1</v>
      </c>
      <c r="W192">
        <v>0.22500000000000001</v>
      </c>
      <c r="X192">
        <f t="shared" si="30"/>
        <v>12422.25</v>
      </c>
      <c r="Y192">
        <f t="shared" si="31"/>
        <v>12422.25</v>
      </c>
      <c r="Z192">
        <f t="shared" si="32"/>
        <v>0</v>
      </c>
      <c r="AB192" t="s">
        <v>40</v>
      </c>
    </row>
    <row r="193" spans="1:28" x14ac:dyDescent="0.25">
      <c r="A193" t="s">
        <v>106</v>
      </c>
      <c r="D193" t="s">
        <v>229</v>
      </c>
      <c r="E193" t="s">
        <v>36</v>
      </c>
      <c r="F193">
        <v>65184</v>
      </c>
      <c r="G193">
        <v>65184</v>
      </c>
      <c r="H193">
        <v>1</v>
      </c>
      <c r="I193">
        <f t="shared" si="22"/>
        <v>0</v>
      </c>
      <c r="J193">
        <v>0.42</v>
      </c>
      <c r="K193">
        <f t="shared" si="23"/>
        <v>27377.279999999999</v>
      </c>
      <c r="L193" t="s">
        <v>37</v>
      </c>
      <c r="M193" t="s">
        <v>38</v>
      </c>
      <c r="N193">
        <f t="shared" si="24"/>
        <v>8143.0981632000012</v>
      </c>
      <c r="O193">
        <f t="shared" si="25"/>
        <v>3.5920421097495867E-2</v>
      </c>
      <c r="P193" t="s">
        <v>39</v>
      </c>
      <c r="Q193">
        <f t="shared" si="26"/>
        <v>0.5759081983308787</v>
      </c>
      <c r="R193">
        <f t="shared" si="27"/>
        <v>37540</v>
      </c>
      <c r="S193">
        <f t="shared" si="28"/>
        <v>37540</v>
      </c>
      <c r="T193">
        <v>37540</v>
      </c>
      <c r="U193">
        <f t="shared" si="29"/>
        <v>0</v>
      </c>
      <c r="V193">
        <v>1</v>
      </c>
      <c r="W193">
        <v>0.22500000000000001</v>
      </c>
      <c r="X193">
        <f t="shared" si="30"/>
        <v>8446.5</v>
      </c>
      <c r="Y193">
        <f t="shared" si="31"/>
        <v>8446.5</v>
      </c>
      <c r="Z193">
        <f t="shared" si="32"/>
        <v>0</v>
      </c>
      <c r="AB193" t="s">
        <v>40</v>
      </c>
    </row>
    <row r="194" spans="1:28" x14ac:dyDescent="0.25">
      <c r="A194" t="s">
        <v>106</v>
      </c>
      <c r="D194" t="s">
        <v>230</v>
      </c>
      <c r="E194" t="s">
        <v>36</v>
      </c>
      <c r="F194">
        <v>98895</v>
      </c>
      <c r="G194">
        <v>98895</v>
      </c>
      <c r="H194">
        <v>1</v>
      </c>
      <c r="I194">
        <f t="shared" si="22"/>
        <v>0</v>
      </c>
      <c r="J194">
        <v>0.42</v>
      </c>
      <c r="K194">
        <f t="shared" si="23"/>
        <v>41535.9</v>
      </c>
      <c r="L194" t="s">
        <v>37</v>
      </c>
      <c r="M194" t="s">
        <v>38</v>
      </c>
      <c r="N194">
        <f t="shared" si="24"/>
        <v>12354.438096000003</v>
      </c>
      <c r="O194">
        <f t="shared" si="25"/>
        <v>3.6014505617977116E-2</v>
      </c>
      <c r="P194" t="s">
        <v>39</v>
      </c>
      <c r="Q194">
        <f t="shared" si="26"/>
        <v>0.57596440669396831</v>
      </c>
      <c r="R194">
        <f t="shared" si="27"/>
        <v>56959.999999999993</v>
      </c>
      <c r="S194">
        <f t="shared" si="28"/>
        <v>56959.999999999993</v>
      </c>
      <c r="T194">
        <v>56960</v>
      </c>
      <c r="U194">
        <f t="shared" si="29"/>
        <v>1.2773801991192813E-16</v>
      </c>
      <c r="V194">
        <v>1</v>
      </c>
      <c r="W194">
        <v>0.22500000000000001</v>
      </c>
      <c r="X194">
        <f t="shared" si="30"/>
        <v>12815.999999999998</v>
      </c>
      <c r="Y194">
        <f t="shared" si="31"/>
        <v>12815.999999999998</v>
      </c>
      <c r="Z194">
        <f t="shared" si="32"/>
        <v>0</v>
      </c>
      <c r="AB194" t="s">
        <v>40</v>
      </c>
    </row>
    <row r="195" spans="1:28" x14ac:dyDescent="0.25">
      <c r="A195" t="s">
        <v>106</v>
      </c>
      <c r="D195" t="s">
        <v>231</v>
      </c>
      <c r="E195" t="s">
        <v>36</v>
      </c>
      <c r="F195">
        <v>65184</v>
      </c>
      <c r="G195">
        <v>65184</v>
      </c>
      <c r="H195">
        <v>1</v>
      </c>
      <c r="I195">
        <f t="shared" si="22"/>
        <v>0</v>
      </c>
      <c r="J195">
        <v>0.42</v>
      </c>
      <c r="K195">
        <f t="shared" si="23"/>
        <v>27377.279999999999</v>
      </c>
      <c r="L195" t="s">
        <v>37</v>
      </c>
      <c r="M195" t="s">
        <v>38</v>
      </c>
      <c r="N195">
        <f t="shared" si="24"/>
        <v>8143.0981632000012</v>
      </c>
      <c r="O195">
        <f t="shared" si="25"/>
        <v>3.5920421097495867E-2</v>
      </c>
      <c r="P195" t="s">
        <v>39</v>
      </c>
      <c r="Q195">
        <f t="shared" si="26"/>
        <v>0.5759081983308787</v>
      </c>
      <c r="R195">
        <f t="shared" si="27"/>
        <v>37540</v>
      </c>
      <c r="S195">
        <f t="shared" si="28"/>
        <v>37540</v>
      </c>
      <c r="T195">
        <v>37540</v>
      </c>
      <c r="U195">
        <f t="shared" si="29"/>
        <v>0</v>
      </c>
      <c r="V195">
        <v>1</v>
      </c>
      <c r="W195">
        <v>0.22500000000000001</v>
      </c>
      <c r="X195">
        <f t="shared" si="30"/>
        <v>8446.5</v>
      </c>
      <c r="Y195">
        <f t="shared" si="31"/>
        <v>8446.5</v>
      </c>
      <c r="Z195">
        <f t="shared" si="32"/>
        <v>0</v>
      </c>
      <c r="AB195" t="s">
        <v>40</v>
      </c>
    </row>
    <row r="196" spans="1:28" x14ac:dyDescent="0.25">
      <c r="A196" t="s">
        <v>106</v>
      </c>
      <c r="D196" t="s">
        <v>232</v>
      </c>
      <c r="E196" t="s">
        <v>36</v>
      </c>
      <c r="F196">
        <v>98895</v>
      </c>
      <c r="G196">
        <v>98895</v>
      </c>
      <c r="H196">
        <v>1</v>
      </c>
      <c r="I196">
        <f t="shared" si="22"/>
        <v>0</v>
      </c>
      <c r="J196">
        <v>0.42</v>
      </c>
      <c r="K196">
        <f t="shared" si="23"/>
        <v>41535.9</v>
      </c>
      <c r="L196" t="s">
        <v>37</v>
      </c>
      <c r="M196" t="s">
        <v>38</v>
      </c>
      <c r="N196">
        <f t="shared" si="24"/>
        <v>12354.438096000003</v>
      </c>
      <c r="O196">
        <f t="shared" si="25"/>
        <v>3.6014505617977116E-2</v>
      </c>
      <c r="P196" t="s">
        <v>39</v>
      </c>
      <c r="Q196">
        <f t="shared" si="26"/>
        <v>0.57596440669396831</v>
      </c>
      <c r="R196">
        <f t="shared" si="27"/>
        <v>56959.999999999993</v>
      </c>
      <c r="S196">
        <f t="shared" si="28"/>
        <v>56959.999999999993</v>
      </c>
      <c r="T196">
        <v>56960</v>
      </c>
      <c r="U196">
        <f t="shared" si="29"/>
        <v>1.2773801991192813E-16</v>
      </c>
      <c r="V196">
        <v>1</v>
      </c>
      <c r="W196">
        <v>0.22500000000000001</v>
      </c>
      <c r="X196">
        <f t="shared" si="30"/>
        <v>12815.999999999998</v>
      </c>
      <c r="Y196">
        <f t="shared" si="31"/>
        <v>12815.999999999998</v>
      </c>
      <c r="Z196">
        <f t="shared" si="32"/>
        <v>0</v>
      </c>
      <c r="AB196" t="s">
        <v>40</v>
      </c>
    </row>
    <row r="197" spans="1:28" x14ac:dyDescent="0.25">
      <c r="A197" t="s">
        <v>106</v>
      </c>
      <c r="D197" t="s">
        <v>233</v>
      </c>
      <c r="E197" t="s">
        <v>36</v>
      </c>
      <c r="F197">
        <v>77299</v>
      </c>
      <c r="G197">
        <v>77299</v>
      </c>
      <c r="H197">
        <v>1</v>
      </c>
      <c r="I197">
        <f t="shared" ref="I197:I260" si="33">(G197-F197)/F197</f>
        <v>0</v>
      </c>
      <c r="J197">
        <v>0.42</v>
      </c>
      <c r="K197">
        <f t="shared" ref="K197:K260" si="34">F197*H197*J197</f>
        <v>32465.579999999998</v>
      </c>
      <c r="L197" t="s">
        <v>37</v>
      </c>
      <c r="M197" t="s">
        <v>38</v>
      </c>
      <c r="N197">
        <f t="shared" ref="N197:N260" si="35">K197*$N$2*$O$2</f>
        <v>9656.5621152000003</v>
      </c>
      <c r="O197">
        <f t="shared" ref="O197:O260" si="36">(X197-N197)/X197</f>
        <v>3.8574062604539994E-2</v>
      </c>
      <c r="P197" t="s">
        <v>39</v>
      </c>
      <c r="Q197">
        <f t="shared" ref="Q197:Q260" si="37">T197/F197</f>
        <v>0.5774977684058008</v>
      </c>
      <c r="R197">
        <f t="shared" ref="R197:R260" si="38">F197*Q197</f>
        <v>44640</v>
      </c>
      <c r="S197">
        <f t="shared" ref="S197:S260" si="39">G197*Q197</f>
        <v>44640</v>
      </c>
      <c r="T197">
        <v>44640</v>
      </c>
      <c r="U197">
        <f t="shared" ref="U197:U260" si="40">(T197-R197)/R197</f>
        <v>0</v>
      </c>
      <c r="V197">
        <v>1</v>
      </c>
      <c r="W197">
        <v>0.22500000000000001</v>
      </c>
      <c r="X197">
        <f t="shared" ref="X197:X260" si="41">R197*V197*W197</f>
        <v>10044</v>
      </c>
      <c r="Y197">
        <f t="shared" ref="Y197:Y260" si="42">S197*W197*V197</f>
        <v>10044</v>
      </c>
      <c r="Z197">
        <f t="shared" ref="Z197:Z260" si="43">(Y197-X197)/X197</f>
        <v>0</v>
      </c>
      <c r="AB197" t="s">
        <v>40</v>
      </c>
    </row>
    <row r="198" spans="1:28" x14ac:dyDescent="0.25">
      <c r="A198" t="s">
        <v>106</v>
      </c>
      <c r="D198" t="s">
        <v>234</v>
      </c>
      <c r="E198" t="s">
        <v>36</v>
      </c>
      <c r="F198">
        <v>108895</v>
      </c>
      <c r="G198">
        <v>108895</v>
      </c>
      <c r="H198">
        <v>1</v>
      </c>
      <c r="I198">
        <f t="shared" si="33"/>
        <v>0</v>
      </c>
      <c r="J198">
        <v>0.42</v>
      </c>
      <c r="K198">
        <f t="shared" si="34"/>
        <v>45735.9</v>
      </c>
      <c r="L198" t="s">
        <v>37</v>
      </c>
      <c r="M198" t="s">
        <v>38</v>
      </c>
      <c r="N198">
        <f t="shared" si="35"/>
        <v>13603.686096000001</v>
      </c>
      <c r="O198">
        <f t="shared" si="36"/>
        <v>3.8778583571806885E-2</v>
      </c>
      <c r="P198" t="s">
        <v>39</v>
      </c>
      <c r="Q198">
        <f t="shared" si="37"/>
        <v>0.57762064373938193</v>
      </c>
      <c r="R198">
        <f t="shared" si="38"/>
        <v>62899.999999999993</v>
      </c>
      <c r="S198">
        <f t="shared" si="39"/>
        <v>62899.999999999993</v>
      </c>
      <c r="T198">
        <v>62900</v>
      </c>
      <c r="U198">
        <f t="shared" si="40"/>
        <v>1.1567500181531681E-16</v>
      </c>
      <c r="V198">
        <v>1</v>
      </c>
      <c r="W198">
        <v>0.22500000000000001</v>
      </c>
      <c r="X198">
        <f t="shared" si="41"/>
        <v>14152.499999999998</v>
      </c>
      <c r="Y198">
        <f t="shared" si="42"/>
        <v>14152.499999999998</v>
      </c>
      <c r="Z198">
        <f t="shared" si="43"/>
        <v>0</v>
      </c>
      <c r="AB198" t="s">
        <v>40</v>
      </c>
    </row>
    <row r="199" spans="1:28" x14ac:dyDescent="0.25">
      <c r="A199" t="s">
        <v>106</v>
      </c>
      <c r="D199" t="s">
        <v>235</v>
      </c>
      <c r="E199" t="s">
        <v>36</v>
      </c>
      <c r="F199">
        <v>92107</v>
      </c>
      <c r="G199">
        <v>92107</v>
      </c>
      <c r="H199">
        <v>1</v>
      </c>
      <c r="I199">
        <f t="shared" si="33"/>
        <v>0</v>
      </c>
      <c r="J199">
        <v>0.42</v>
      </c>
      <c r="K199">
        <f t="shared" si="34"/>
        <v>38684.939999999995</v>
      </c>
      <c r="L199" t="s">
        <v>37</v>
      </c>
      <c r="M199" t="s">
        <v>38</v>
      </c>
      <c r="N199">
        <f t="shared" si="35"/>
        <v>11506.448553600001</v>
      </c>
      <c r="O199">
        <f t="shared" si="36"/>
        <v>3.8545377903114526E-2</v>
      </c>
      <c r="P199" t="s">
        <v>39</v>
      </c>
      <c r="Q199">
        <f t="shared" si="37"/>
        <v>0.57748053893840856</v>
      </c>
      <c r="R199">
        <f t="shared" si="38"/>
        <v>53190</v>
      </c>
      <c r="S199">
        <f t="shared" si="39"/>
        <v>53190</v>
      </c>
      <c r="T199">
        <v>53190</v>
      </c>
      <c r="U199">
        <f t="shared" si="40"/>
        <v>0</v>
      </c>
      <c r="V199">
        <v>1</v>
      </c>
      <c r="W199">
        <v>0.22500000000000001</v>
      </c>
      <c r="X199">
        <f t="shared" si="41"/>
        <v>11967.75</v>
      </c>
      <c r="Y199">
        <f t="shared" si="42"/>
        <v>11967.75</v>
      </c>
      <c r="Z199">
        <f t="shared" si="43"/>
        <v>0</v>
      </c>
      <c r="AB199" t="s">
        <v>40</v>
      </c>
    </row>
    <row r="200" spans="1:28" x14ac:dyDescent="0.25">
      <c r="A200" t="s">
        <v>106</v>
      </c>
      <c r="D200" t="s">
        <v>236</v>
      </c>
      <c r="E200" t="s">
        <v>36</v>
      </c>
      <c r="F200">
        <v>123703</v>
      </c>
      <c r="G200">
        <v>123703</v>
      </c>
      <c r="H200">
        <v>1</v>
      </c>
      <c r="I200">
        <f t="shared" si="33"/>
        <v>0</v>
      </c>
      <c r="J200">
        <v>0.42</v>
      </c>
      <c r="K200">
        <f t="shared" si="34"/>
        <v>51955.259999999995</v>
      </c>
      <c r="L200" t="s">
        <v>37</v>
      </c>
      <c r="M200" t="s">
        <v>38</v>
      </c>
      <c r="N200">
        <f t="shared" si="35"/>
        <v>15453.5725344</v>
      </c>
      <c r="O200">
        <f t="shared" si="36"/>
        <v>3.7655252944748016E-2</v>
      </c>
      <c r="P200" t="s">
        <v>39</v>
      </c>
      <c r="Q200">
        <f t="shared" si="37"/>
        <v>0.57694639580285034</v>
      </c>
      <c r="R200">
        <f t="shared" si="38"/>
        <v>71370</v>
      </c>
      <c r="S200">
        <f t="shared" si="39"/>
        <v>71370</v>
      </c>
      <c r="T200">
        <v>71370</v>
      </c>
      <c r="U200">
        <f t="shared" si="40"/>
        <v>0</v>
      </c>
      <c r="V200">
        <v>1</v>
      </c>
      <c r="W200">
        <v>0.22500000000000001</v>
      </c>
      <c r="X200">
        <f t="shared" si="41"/>
        <v>16058.25</v>
      </c>
      <c r="Y200">
        <f t="shared" si="42"/>
        <v>16058.25</v>
      </c>
      <c r="Z200">
        <f t="shared" si="43"/>
        <v>0</v>
      </c>
      <c r="AB200" t="s">
        <v>40</v>
      </c>
    </row>
    <row r="201" spans="1:28" x14ac:dyDescent="0.25">
      <c r="A201" t="s">
        <v>106</v>
      </c>
      <c r="D201" t="s">
        <v>237</v>
      </c>
      <c r="E201" t="s">
        <v>36</v>
      </c>
      <c r="F201">
        <v>92107</v>
      </c>
      <c r="G201">
        <v>92107</v>
      </c>
      <c r="H201">
        <v>1</v>
      </c>
      <c r="I201">
        <f t="shared" si="33"/>
        <v>0</v>
      </c>
      <c r="J201">
        <v>0.42</v>
      </c>
      <c r="K201">
        <f t="shared" si="34"/>
        <v>38684.939999999995</v>
      </c>
      <c r="L201" t="s">
        <v>37</v>
      </c>
      <c r="M201" t="s">
        <v>38</v>
      </c>
      <c r="N201">
        <f t="shared" si="35"/>
        <v>11506.448553600001</v>
      </c>
      <c r="O201">
        <f t="shared" si="36"/>
        <v>3.8545377903114526E-2</v>
      </c>
      <c r="P201" t="s">
        <v>39</v>
      </c>
      <c r="Q201">
        <f t="shared" si="37"/>
        <v>0.57748053893840856</v>
      </c>
      <c r="R201">
        <f t="shared" si="38"/>
        <v>53190</v>
      </c>
      <c r="S201">
        <f t="shared" si="39"/>
        <v>53190</v>
      </c>
      <c r="T201">
        <v>53190</v>
      </c>
      <c r="U201">
        <f t="shared" si="40"/>
        <v>0</v>
      </c>
      <c r="V201">
        <v>1</v>
      </c>
      <c r="W201">
        <v>0.22500000000000001</v>
      </c>
      <c r="X201">
        <f t="shared" si="41"/>
        <v>11967.75</v>
      </c>
      <c r="Y201">
        <f t="shared" si="42"/>
        <v>11967.75</v>
      </c>
      <c r="Z201">
        <f t="shared" si="43"/>
        <v>0</v>
      </c>
      <c r="AB201" t="s">
        <v>40</v>
      </c>
    </row>
    <row r="202" spans="1:28" x14ac:dyDescent="0.25">
      <c r="A202" t="s">
        <v>106</v>
      </c>
      <c r="D202" t="s">
        <v>238</v>
      </c>
      <c r="E202" t="s">
        <v>36</v>
      </c>
      <c r="F202">
        <v>123703</v>
      </c>
      <c r="G202">
        <v>123703</v>
      </c>
      <c r="H202">
        <v>1</v>
      </c>
      <c r="I202">
        <f t="shared" si="33"/>
        <v>0</v>
      </c>
      <c r="J202">
        <v>0.42</v>
      </c>
      <c r="K202">
        <f t="shared" si="34"/>
        <v>51955.259999999995</v>
      </c>
      <c r="L202" t="s">
        <v>37</v>
      </c>
      <c r="M202" t="s">
        <v>38</v>
      </c>
      <c r="N202">
        <f t="shared" si="35"/>
        <v>15453.5725344</v>
      </c>
      <c r="O202">
        <f t="shared" si="36"/>
        <v>3.7655252944748016E-2</v>
      </c>
      <c r="P202" t="s">
        <v>39</v>
      </c>
      <c r="Q202">
        <f t="shared" si="37"/>
        <v>0.57694639580285034</v>
      </c>
      <c r="R202">
        <f t="shared" si="38"/>
        <v>71370</v>
      </c>
      <c r="S202">
        <f t="shared" si="39"/>
        <v>71370</v>
      </c>
      <c r="T202">
        <v>71370</v>
      </c>
      <c r="U202">
        <f t="shared" si="40"/>
        <v>0</v>
      </c>
      <c r="V202">
        <v>1</v>
      </c>
      <c r="W202">
        <v>0.22500000000000001</v>
      </c>
      <c r="X202">
        <f t="shared" si="41"/>
        <v>16058.25</v>
      </c>
      <c r="Y202">
        <f t="shared" si="42"/>
        <v>16058.25</v>
      </c>
      <c r="Z202">
        <f t="shared" si="43"/>
        <v>0</v>
      </c>
      <c r="AB202" t="s">
        <v>40</v>
      </c>
    </row>
    <row r="203" spans="1:28" x14ac:dyDescent="0.25">
      <c r="A203" t="s">
        <v>106</v>
      </c>
      <c r="D203" t="s">
        <v>239</v>
      </c>
      <c r="E203" t="s">
        <v>36</v>
      </c>
      <c r="F203">
        <v>53280</v>
      </c>
      <c r="G203">
        <v>53280</v>
      </c>
      <c r="H203">
        <v>1</v>
      </c>
      <c r="I203">
        <f t="shared" si="33"/>
        <v>0</v>
      </c>
      <c r="J203">
        <v>0.42</v>
      </c>
      <c r="K203">
        <f t="shared" si="34"/>
        <v>22377.599999999999</v>
      </c>
      <c r="L203" t="s">
        <v>37</v>
      </c>
      <c r="M203" t="s">
        <v>38</v>
      </c>
      <c r="N203">
        <f t="shared" si="35"/>
        <v>6655.9933440000013</v>
      </c>
      <c r="O203">
        <f t="shared" si="36"/>
        <v>3.7351362186788084E-2</v>
      </c>
      <c r="P203" t="s">
        <v>39</v>
      </c>
      <c r="Q203">
        <f t="shared" si="37"/>
        <v>0.5767642642642643</v>
      </c>
      <c r="R203">
        <f t="shared" si="38"/>
        <v>30730.000000000004</v>
      </c>
      <c r="S203">
        <f t="shared" si="39"/>
        <v>30730.000000000004</v>
      </c>
      <c r="T203">
        <v>30730</v>
      </c>
      <c r="U203">
        <f t="shared" si="40"/>
        <v>-1.183852524273255E-16</v>
      </c>
      <c r="V203">
        <v>1</v>
      </c>
      <c r="W203">
        <v>0.22500000000000001</v>
      </c>
      <c r="X203">
        <f t="shared" si="41"/>
        <v>6914.2500000000009</v>
      </c>
      <c r="Y203">
        <f t="shared" si="42"/>
        <v>6914.2500000000009</v>
      </c>
      <c r="Z203">
        <f t="shared" si="43"/>
        <v>0</v>
      </c>
      <c r="AB203" t="s">
        <v>40</v>
      </c>
    </row>
    <row r="204" spans="1:28" x14ac:dyDescent="0.25">
      <c r="A204" t="s">
        <v>106</v>
      </c>
      <c r="D204" t="s">
        <v>240</v>
      </c>
      <c r="E204" t="s">
        <v>36</v>
      </c>
      <c r="F204">
        <v>80405</v>
      </c>
      <c r="G204">
        <v>80405</v>
      </c>
      <c r="H204">
        <v>1</v>
      </c>
      <c r="I204">
        <f t="shared" si="33"/>
        <v>0</v>
      </c>
      <c r="J204">
        <v>0.42</v>
      </c>
      <c r="K204">
        <f t="shared" si="34"/>
        <v>33770.1</v>
      </c>
      <c r="L204" t="s">
        <v>37</v>
      </c>
      <c r="M204" t="s">
        <v>38</v>
      </c>
      <c r="N204">
        <f t="shared" si="35"/>
        <v>10044.578544000002</v>
      </c>
      <c r="O204">
        <f t="shared" si="36"/>
        <v>3.7253152756810987E-2</v>
      </c>
      <c r="P204" t="s">
        <v>39</v>
      </c>
      <c r="Q204">
        <f t="shared" si="37"/>
        <v>0.5767054287668677</v>
      </c>
      <c r="R204">
        <f t="shared" si="38"/>
        <v>46370</v>
      </c>
      <c r="S204">
        <f t="shared" si="39"/>
        <v>46370</v>
      </c>
      <c r="T204">
        <v>46370</v>
      </c>
      <c r="U204">
        <f t="shared" si="40"/>
        <v>0</v>
      </c>
      <c r="V204">
        <v>1</v>
      </c>
      <c r="W204">
        <v>0.22500000000000001</v>
      </c>
      <c r="X204">
        <f t="shared" si="41"/>
        <v>10433.25</v>
      </c>
      <c r="Y204">
        <f t="shared" si="42"/>
        <v>10433.25</v>
      </c>
      <c r="Z204">
        <f t="shared" si="43"/>
        <v>0</v>
      </c>
      <c r="AB204" t="s">
        <v>40</v>
      </c>
    </row>
    <row r="205" spans="1:28" x14ac:dyDescent="0.25">
      <c r="A205" t="s">
        <v>106</v>
      </c>
      <c r="D205" t="s">
        <v>241</v>
      </c>
      <c r="E205" t="s">
        <v>36</v>
      </c>
      <c r="F205">
        <v>53280</v>
      </c>
      <c r="G205">
        <v>53280</v>
      </c>
      <c r="H205">
        <v>1</v>
      </c>
      <c r="I205">
        <f t="shared" si="33"/>
        <v>0</v>
      </c>
      <c r="J205">
        <v>0.42</v>
      </c>
      <c r="K205">
        <f t="shared" si="34"/>
        <v>22377.599999999999</v>
      </c>
      <c r="L205" t="s">
        <v>37</v>
      </c>
      <c r="M205" t="s">
        <v>38</v>
      </c>
      <c r="N205">
        <f t="shared" si="35"/>
        <v>6655.9933440000013</v>
      </c>
      <c r="O205">
        <f t="shared" si="36"/>
        <v>3.7351362186788084E-2</v>
      </c>
      <c r="P205" t="s">
        <v>39</v>
      </c>
      <c r="Q205">
        <f t="shared" si="37"/>
        <v>0.5767642642642643</v>
      </c>
      <c r="R205">
        <f t="shared" si="38"/>
        <v>30730.000000000004</v>
      </c>
      <c r="S205">
        <f t="shared" si="39"/>
        <v>30730.000000000004</v>
      </c>
      <c r="T205">
        <v>30730</v>
      </c>
      <c r="U205">
        <f t="shared" si="40"/>
        <v>-1.183852524273255E-16</v>
      </c>
      <c r="V205">
        <v>1</v>
      </c>
      <c r="W205">
        <v>0.22500000000000001</v>
      </c>
      <c r="X205">
        <f t="shared" si="41"/>
        <v>6914.2500000000009</v>
      </c>
      <c r="Y205">
        <f t="shared" si="42"/>
        <v>6914.2500000000009</v>
      </c>
      <c r="Z205">
        <f t="shared" si="43"/>
        <v>0</v>
      </c>
      <c r="AB205" t="s">
        <v>40</v>
      </c>
    </row>
    <row r="206" spans="1:28" x14ac:dyDescent="0.25">
      <c r="A206" t="s">
        <v>106</v>
      </c>
      <c r="D206" t="s">
        <v>242</v>
      </c>
      <c r="E206" t="s">
        <v>36</v>
      </c>
      <c r="F206">
        <v>80405</v>
      </c>
      <c r="G206">
        <v>80405</v>
      </c>
      <c r="H206">
        <v>1</v>
      </c>
      <c r="I206">
        <f t="shared" si="33"/>
        <v>0</v>
      </c>
      <c r="J206">
        <v>0.42</v>
      </c>
      <c r="K206">
        <f t="shared" si="34"/>
        <v>33770.1</v>
      </c>
      <c r="L206" t="s">
        <v>37</v>
      </c>
      <c r="M206" t="s">
        <v>38</v>
      </c>
      <c r="N206">
        <f t="shared" si="35"/>
        <v>10044.578544000002</v>
      </c>
      <c r="O206">
        <f t="shared" si="36"/>
        <v>3.7253152756810987E-2</v>
      </c>
      <c r="P206" t="s">
        <v>39</v>
      </c>
      <c r="Q206">
        <f t="shared" si="37"/>
        <v>0.5767054287668677</v>
      </c>
      <c r="R206">
        <f t="shared" si="38"/>
        <v>46370</v>
      </c>
      <c r="S206">
        <f t="shared" si="39"/>
        <v>46370</v>
      </c>
      <c r="T206">
        <v>46370</v>
      </c>
      <c r="U206">
        <f t="shared" si="40"/>
        <v>0</v>
      </c>
      <c r="V206">
        <v>1</v>
      </c>
      <c r="W206">
        <v>0.22500000000000001</v>
      </c>
      <c r="X206">
        <f t="shared" si="41"/>
        <v>10433.25</v>
      </c>
      <c r="Y206">
        <f t="shared" si="42"/>
        <v>10433.25</v>
      </c>
      <c r="Z206">
        <f t="shared" si="43"/>
        <v>0</v>
      </c>
      <c r="AB206" t="s">
        <v>40</v>
      </c>
    </row>
    <row r="207" spans="1:28" x14ac:dyDescent="0.25">
      <c r="A207" t="s">
        <v>106</v>
      </c>
      <c r="D207" t="s">
        <v>243</v>
      </c>
      <c r="E207" t="s">
        <v>36</v>
      </c>
      <c r="F207">
        <v>52238</v>
      </c>
      <c r="G207">
        <v>52238</v>
      </c>
      <c r="H207">
        <v>1</v>
      </c>
      <c r="I207">
        <f t="shared" si="33"/>
        <v>0</v>
      </c>
      <c r="J207">
        <v>0.42</v>
      </c>
      <c r="K207">
        <f t="shared" si="34"/>
        <v>21939.96</v>
      </c>
      <c r="L207" t="s">
        <v>37</v>
      </c>
      <c r="M207" t="s">
        <v>38</v>
      </c>
      <c r="N207">
        <f t="shared" si="35"/>
        <v>6525.8217024000014</v>
      </c>
      <c r="O207">
        <f t="shared" si="36"/>
        <v>3.5782845390070712E-2</v>
      </c>
      <c r="P207" t="s">
        <v>39</v>
      </c>
      <c r="Q207">
        <f t="shared" si="37"/>
        <v>0.5758260270301313</v>
      </c>
      <c r="R207">
        <f t="shared" si="38"/>
        <v>30080</v>
      </c>
      <c r="S207">
        <f t="shared" si="39"/>
        <v>30080</v>
      </c>
      <c r="T207">
        <v>30080</v>
      </c>
      <c r="U207">
        <f t="shared" si="40"/>
        <v>0</v>
      </c>
      <c r="V207">
        <v>1</v>
      </c>
      <c r="W207">
        <v>0.22500000000000001</v>
      </c>
      <c r="X207">
        <f t="shared" si="41"/>
        <v>6768</v>
      </c>
      <c r="Y207">
        <f t="shared" si="42"/>
        <v>6768</v>
      </c>
      <c r="Z207">
        <f t="shared" si="43"/>
        <v>0</v>
      </c>
      <c r="AB207" t="s">
        <v>40</v>
      </c>
    </row>
    <row r="208" spans="1:28" x14ac:dyDescent="0.25">
      <c r="A208" t="s">
        <v>106</v>
      </c>
      <c r="D208" t="s">
        <v>244</v>
      </c>
      <c r="E208" t="s">
        <v>36</v>
      </c>
      <c r="F208">
        <v>79363</v>
      </c>
      <c r="G208">
        <v>79363</v>
      </c>
      <c r="H208">
        <v>1</v>
      </c>
      <c r="I208">
        <f t="shared" si="33"/>
        <v>0</v>
      </c>
      <c r="J208">
        <v>0.42</v>
      </c>
      <c r="K208">
        <f t="shared" si="34"/>
        <v>33332.46</v>
      </c>
      <c r="L208" t="s">
        <v>37</v>
      </c>
      <c r="M208" t="s">
        <v>38</v>
      </c>
      <c r="N208">
        <f t="shared" si="35"/>
        <v>9914.4069024000019</v>
      </c>
      <c r="O208">
        <f t="shared" si="36"/>
        <v>3.6219801458151055E-2</v>
      </c>
      <c r="P208" t="s">
        <v>39</v>
      </c>
      <c r="Q208">
        <f t="shared" si="37"/>
        <v>0.57608709348184928</v>
      </c>
      <c r="R208">
        <f t="shared" si="38"/>
        <v>45720.000000000007</v>
      </c>
      <c r="S208">
        <f t="shared" si="39"/>
        <v>45720.000000000007</v>
      </c>
      <c r="T208">
        <v>45720</v>
      </c>
      <c r="U208">
        <f t="shared" si="40"/>
        <v>-1.5914168010024988E-16</v>
      </c>
      <c r="V208">
        <v>1</v>
      </c>
      <c r="W208">
        <v>0.22500000000000001</v>
      </c>
      <c r="X208">
        <f t="shared" si="41"/>
        <v>10287.000000000002</v>
      </c>
      <c r="Y208">
        <f t="shared" si="42"/>
        <v>10287.000000000002</v>
      </c>
      <c r="Z208">
        <f t="shared" si="43"/>
        <v>0</v>
      </c>
      <c r="AB208" t="s">
        <v>40</v>
      </c>
    </row>
    <row r="209" spans="1:28" x14ac:dyDescent="0.25">
      <c r="A209" t="s">
        <v>106</v>
      </c>
      <c r="D209" t="s">
        <v>245</v>
      </c>
      <c r="E209" t="s">
        <v>36</v>
      </c>
      <c r="F209">
        <v>52238</v>
      </c>
      <c r="G209">
        <v>52238</v>
      </c>
      <c r="H209">
        <v>1</v>
      </c>
      <c r="I209">
        <f t="shared" si="33"/>
        <v>0</v>
      </c>
      <c r="J209">
        <v>0.42</v>
      </c>
      <c r="K209">
        <f t="shared" si="34"/>
        <v>21939.96</v>
      </c>
      <c r="L209" t="s">
        <v>37</v>
      </c>
      <c r="M209" t="s">
        <v>38</v>
      </c>
      <c r="N209">
        <f t="shared" si="35"/>
        <v>6525.8217024000014</v>
      </c>
      <c r="O209">
        <f t="shared" si="36"/>
        <v>3.5782845390070712E-2</v>
      </c>
      <c r="P209" t="s">
        <v>39</v>
      </c>
      <c r="Q209">
        <f t="shared" si="37"/>
        <v>0.5758260270301313</v>
      </c>
      <c r="R209">
        <f t="shared" si="38"/>
        <v>30080</v>
      </c>
      <c r="S209">
        <f t="shared" si="39"/>
        <v>30080</v>
      </c>
      <c r="T209">
        <v>30080</v>
      </c>
      <c r="U209">
        <f t="shared" si="40"/>
        <v>0</v>
      </c>
      <c r="V209">
        <v>1</v>
      </c>
      <c r="W209">
        <v>0.22500000000000001</v>
      </c>
      <c r="X209">
        <f t="shared" si="41"/>
        <v>6768</v>
      </c>
      <c r="Y209">
        <f t="shared" si="42"/>
        <v>6768</v>
      </c>
      <c r="Z209">
        <f t="shared" si="43"/>
        <v>0</v>
      </c>
      <c r="AB209" t="s">
        <v>40</v>
      </c>
    </row>
    <row r="210" spans="1:28" x14ac:dyDescent="0.25">
      <c r="A210" t="s">
        <v>106</v>
      </c>
      <c r="D210" t="s">
        <v>246</v>
      </c>
      <c r="E210" t="s">
        <v>36</v>
      </c>
      <c r="F210">
        <v>79363</v>
      </c>
      <c r="G210">
        <v>79363</v>
      </c>
      <c r="H210">
        <v>1</v>
      </c>
      <c r="I210">
        <f t="shared" si="33"/>
        <v>0</v>
      </c>
      <c r="J210">
        <v>0.42</v>
      </c>
      <c r="K210">
        <f t="shared" si="34"/>
        <v>33332.46</v>
      </c>
      <c r="L210" t="s">
        <v>37</v>
      </c>
      <c r="M210" t="s">
        <v>38</v>
      </c>
      <c r="N210">
        <f t="shared" si="35"/>
        <v>9914.4069024000019</v>
      </c>
      <c r="O210">
        <f t="shared" si="36"/>
        <v>3.6219801458151055E-2</v>
      </c>
      <c r="P210" t="s">
        <v>39</v>
      </c>
      <c r="Q210">
        <f t="shared" si="37"/>
        <v>0.57608709348184928</v>
      </c>
      <c r="R210">
        <f t="shared" si="38"/>
        <v>45720.000000000007</v>
      </c>
      <c r="S210">
        <f t="shared" si="39"/>
        <v>45720.000000000007</v>
      </c>
      <c r="T210">
        <v>45720</v>
      </c>
      <c r="U210">
        <f t="shared" si="40"/>
        <v>-1.5914168010024988E-16</v>
      </c>
      <c r="V210">
        <v>1</v>
      </c>
      <c r="W210">
        <v>0.22500000000000001</v>
      </c>
      <c r="X210">
        <f t="shared" si="41"/>
        <v>10287.000000000002</v>
      </c>
      <c r="Y210">
        <f t="shared" si="42"/>
        <v>10287.000000000002</v>
      </c>
      <c r="Z210">
        <f t="shared" si="43"/>
        <v>0</v>
      </c>
      <c r="AB210" t="s">
        <v>40</v>
      </c>
    </row>
    <row r="211" spans="1:28" x14ac:dyDescent="0.25">
      <c r="A211" t="s">
        <v>106</v>
      </c>
      <c r="D211" t="s">
        <v>247</v>
      </c>
      <c r="E211" t="s">
        <v>36</v>
      </c>
      <c r="F211">
        <v>52238</v>
      </c>
      <c r="G211">
        <v>52238</v>
      </c>
      <c r="H211">
        <v>1</v>
      </c>
      <c r="I211">
        <f t="shared" si="33"/>
        <v>0</v>
      </c>
      <c r="J211">
        <v>0.42</v>
      </c>
      <c r="K211">
        <f t="shared" si="34"/>
        <v>21939.96</v>
      </c>
      <c r="L211" t="s">
        <v>37</v>
      </c>
      <c r="M211" t="s">
        <v>38</v>
      </c>
      <c r="N211">
        <f t="shared" si="35"/>
        <v>6525.8217024000014</v>
      </c>
      <c r="O211">
        <f t="shared" si="36"/>
        <v>3.5782845390070712E-2</v>
      </c>
      <c r="P211" t="s">
        <v>39</v>
      </c>
      <c r="Q211">
        <f t="shared" si="37"/>
        <v>0.5758260270301313</v>
      </c>
      <c r="R211">
        <f t="shared" si="38"/>
        <v>30080</v>
      </c>
      <c r="S211">
        <f t="shared" si="39"/>
        <v>30080</v>
      </c>
      <c r="T211">
        <v>30080</v>
      </c>
      <c r="U211">
        <f t="shared" si="40"/>
        <v>0</v>
      </c>
      <c r="V211">
        <v>1</v>
      </c>
      <c r="W211">
        <v>0.22500000000000001</v>
      </c>
      <c r="X211">
        <f t="shared" si="41"/>
        <v>6768</v>
      </c>
      <c r="Y211">
        <f t="shared" si="42"/>
        <v>6768</v>
      </c>
      <c r="Z211">
        <f t="shared" si="43"/>
        <v>0</v>
      </c>
      <c r="AB211" t="s">
        <v>40</v>
      </c>
    </row>
    <row r="212" spans="1:28" x14ac:dyDescent="0.25">
      <c r="A212" t="s">
        <v>106</v>
      </c>
      <c r="D212" t="s">
        <v>248</v>
      </c>
      <c r="E212" t="s">
        <v>36</v>
      </c>
      <c r="F212">
        <v>79363</v>
      </c>
      <c r="G212">
        <v>79363</v>
      </c>
      <c r="H212">
        <v>1</v>
      </c>
      <c r="I212">
        <f t="shared" si="33"/>
        <v>0</v>
      </c>
      <c r="J212">
        <v>0.42</v>
      </c>
      <c r="K212">
        <f t="shared" si="34"/>
        <v>33332.46</v>
      </c>
      <c r="L212" t="s">
        <v>37</v>
      </c>
      <c r="M212" t="s">
        <v>38</v>
      </c>
      <c r="N212">
        <f t="shared" si="35"/>
        <v>9914.4069024000019</v>
      </c>
      <c r="O212">
        <f t="shared" si="36"/>
        <v>3.6219801458151055E-2</v>
      </c>
      <c r="P212" t="s">
        <v>39</v>
      </c>
      <c r="Q212">
        <f t="shared" si="37"/>
        <v>0.57608709348184928</v>
      </c>
      <c r="R212">
        <f t="shared" si="38"/>
        <v>45720.000000000007</v>
      </c>
      <c r="S212">
        <f t="shared" si="39"/>
        <v>45720.000000000007</v>
      </c>
      <c r="T212">
        <v>45720</v>
      </c>
      <c r="U212">
        <f t="shared" si="40"/>
        <v>-1.5914168010024988E-16</v>
      </c>
      <c r="V212">
        <v>1</v>
      </c>
      <c r="W212">
        <v>0.22500000000000001</v>
      </c>
      <c r="X212">
        <f t="shared" si="41"/>
        <v>10287.000000000002</v>
      </c>
      <c r="Y212">
        <f t="shared" si="42"/>
        <v>10287.000000000002</v>
      </c>
      <c r="Z212">
        <f t="shared" si="43"/>
        <v>0</v>
      </c>
      <c r="AB212" t="s">
        <v>40</v>
      </c>
    </row>
    <row r="213" spans="1:28" x14ac:dyDescent="0.25">
      <c r="A213" t="s">
        <v>106</v>
      </c>
      <c r="D213" t="s">
        <v>249</v>
      </c>
      <c r="E213" t="s">
        <v>36</v>
      </c>
      <c r="F213">
        <v>52238</v>
      </c>
      <c r="G213">
        <v>52238</v>
      </c>
      <c r="H213">
        <v>1</v>
      </c>
      <c r="I213">
        <f t="shared" si="33"/>
        <v>0</v>
      </c>
      <c r="J213">
        <v>0.42</v>
      </c>
      <c r="K213">
        <f t="shared" si="34"/>
        <v>21939.96</v>
      </c>
      <c r="L213" t="s">
        <v>37</v>
      </c>
      <c r="M213" t="s">
        <v>38</v>
      </c>
      <c r="N213">
        <f t="shared" si="35"/>
        <v>6525.8217024000014</v>
      </c>
      <c r="O213">
        <f t="shared" si="36"/>
        <v>3.5782845390070712E-2</v>
      </c>
      <c r="P213" t="s">
        <v>39</v>
      </c>
      <c r="Q213">
        <f t="shared" si="37"/>
        <v>0.5758260270301313</v>
      </c>
      <c r="R213">
        <f t="shared" si="38"/>
        <v>30080</v>
      </c>
      <c r="S213">
        <f t="shared" si="39"/>
        <v>30080</v>
      </c>
      <c r="T213">
        <v>30080</v>
      </c>
      <c r="U213">
        <f t="shared" si="40"/>
        <v>0</v>
      </c>
      <c r="V213">
        <v>1</v>
      </c>
      <c r="W213">
        <v>0.22500000000000001</v>
      </c>
      <c r="X213">
        <f t="shared" si="41"/>
        <v>6768</v>
      </c>
      <c r="Y213">
        <f t="shared" si="42"/>
        <v>6768</v>
      </c>
      <c r="Z213">
        <f t="shared" si="43"/>
        <v>0</v>
      </c>
      <c r="AB213" t="s">
        <v>40</v>
      </c>
    </row>
    <row r="214" spans="1:28" x14ac:dyDescent="0.25">
      <c r="A214" t="s">
        <v>106</v>
      </c>
      <c r="D214" t="s">
        <v>250</v>
      </c>
      <c r="E214" t="s">
        <v>36</v>
      </c>
      <c r="F214">
        <v>79363</v>
      </c>
      <c r="G214">
        <v>79363</v>
      </c>
      <c r="H214">
        <v>1</v>
      </c>
      <c r="I214">
        <f t="shared" si="33"/>
        <v>0</v>
      </c>
      <c r="J214">
        <v>0.42</v>
      </c>
      <c r="K214">
        <f t="shared" si="34"/>
        <v>33332.46</v>
      </c>
      <c r="L214" t="s">
        <v>37</v>
      </c>
      <c r="M214" t="s">
        <v>38</v>
      </c>
      <c r="N214">
        <f t="shared" si="35"/>
        <v>9914.4069024000019</v>
      </c>
      <c r="O214">
        <f t="shared" si="36"/>
        <v>3.6219801458151055E-2</v>
      </c>
      <c r="P214" t="s">
        <v>39</v>
      </c>
      <c r="Q214">
        <f t="shared" si="37"/>
        <v>0.57608709348184928</v>
      </c>
      <c r="R214">
        <f t="shared" si="38"/>
        <v>45720.000000000007</v>
      </c>
      <c r="S214">
        <f t="shared" si="39"/>
        <v>45720.000000000007</v>
      </c>
      <c r="T214">
        <v>45720</v>
      </c>
      <c r="U214">
        <f t="shared" si="40"/>
        <v>-1.5914168010024988E-16</v>
      </c>
      <c r="V214">
        <v>1</v>
      </c>
      <c r="W214">
        <v>0.22500000000000001</v>
      </c>
      <c r="X214">
        <f t="shared" si="41"/>
        <v>10287.000000000002</v>
      </c>
      <c r="Y214">
        <f t="shared" si="42"/>
        <v>10287.000000000002</v>
      </c>
      <c r="Z214">
        <f t="shared" si="43"/>
        <v>0</v>
      </c>
      <c r="AB214" t="s">
        <v>40</v>
      </c>
    </row>
    <row r="215" spans="1:28" x14ac:dyDescent="0.25">
      <c r="A215" t="s">
        <v>106</v>
      </c>
      <c r="D215" t="s">
        <v>251</v>
      </c>
      <c r="E215" t="s">
        <v>36</v>
      </c>
      <c r="F215">
        <v>53280</v>
      </c>
      <c r="G215">
        <v>53280</v>
      </c>
      <c r="H215">
        <v>1</v>
      </c>
      <c r="I215">
        <f t="shared" si="33"/>
        <v>0</v>
      </c>
      <c r="J215">
        <v>0.42</v>
      </c>
      <c r="K215">
        <f t="shared" si="34"/>
        <v>22377.599999999999</v>
      </c>
      <c r="L215" t="s">
        <v>37</v>
      </c>
      <c r="M215" t="s">
        <v>38</v>
      </c>
      <c r="N215">
        <f t="shared" si="35"/>
        <v>6655.9933440000013</v>
      </c>
      <c r="O215">
        <f t="shared" si="36"/>
        <v>3.7351362186788084E-2</v>
      </c>
      <c r="P215" t="s">
        <v>39</v>
      </c>
      <c r="Q215">
        <f t="shared" si="37"/>
        <v>0.5767642642642643</v>
      </c>
      <c r="R215">
        <f t="shared" si="38"/>
        <v>30730.000000000004</v>
      </c>
      <c r="S215">
        <f t="shared" si="39"/>
        <v>30730.000000000004</v>
      </c>
      <c r="T215">
        <v>30730</v>
      </c>
      <c r="U215">
        <f t="shared" si="40"/>
        <v>-1.183852524273255E-16</v>
      </c>
      <c r="V215">
        <v>1</v>
      </c>
      <c r="W215">
        <v>0.22500000000000001</v>
      </c>
      <c r="X215">
        <f t="shared" si="41"/>
        <v>6914.2500000000009</v>
      </c>
      <c r="Y215">
        <f t="shared" si="42"/>
        <v>6914.2500000000009</v>
      </c>
      <c r="Z215">
        <f t="shared" si="43"/>
        <v>0</v>
      </c>
      <c r="AB215" t="s">
        <v>40</v>
      </c>
    </row>
    <row r="216" spans="1:28" x14ac:dyDescent="0.25">
      <c r="A216" t="s">
        <v>106</v>
      </c>
      <c r="D216" t="s">
        <v>252</v>
      </c>
      <c r="E216" t="s">
        <v>36</v>
      </c>
      <c r="F216">
        <v>80405</v>
      </c>
      <c r="G216">
        <v>80405</v>
      </c>
      <c r="H216">
        <v>1</v>
      </c>
      <c r="I216">
        <f t="shared" si="33"/>
        <v>0</v>
      </c>
      <c r="J216">
        <v>0.42</v>
      </c>
      <c r="K216">
        <f t="shared" si="34"/>
        <v>33770.1</v>
      </c>
      <c r="L216" t="s">
        <v>37</v>
      </c>
      <c r="M216" t="s">
        <v>38</v>
      </c>
      <c r="N216">
        <f t="shared" si="35"/>
        <v>10044.578544000002</v>
      </c>
      <c r="O216">
        <f t="shared" si="36"/>
        <v>3.7253152756810987E-2</v>
      </c>
      <c r="P216" t="s">
        <v>39</v>
      </c>
      <c r="Q216">
        <f t="shared" si="37"/>
        <v>0.5767054287668677</v>
      </c>
      <c r="R216">
        <f t="shared" si="38"/>
        <v>46370</v>
      </c>
      <c r="S216">
        <f t="shared" si="39"/>
        <v>46370</v>
      </c>
      <c r="T216">
        <v>46370</v>
      </c>
      <c r="U216">
        <f t="shared" si="40"/>
        <v>0</v>
      </c>
      <c r="V216">
        <v>1</v>
      </c>
      <c r="W216">
        <v>0.22500000000000001</v>
      </c>
      <c r="X216">
        <f t="shared" si="41"/>
        <v>10433.25</v>
      </c>
      <c r="Y216">
        <f t="shared" si="42"/>
        <v>10433.25</v>
      </c>
      <c r="Z216">
        <f t="shared" si="43"/>
        <v>0</v>
      </c>
      <c r="AB216" t="s">
        <v>40</v>
      </c>
    </row>
    <row r="217" spans="1:28" x14ac:dyDescent="0.25">
      <c r="A217" t="s">
        <v>106</v>
      </c>
      <c r="D217" t="s">
        <v>253</v>
      </c>
      <c r="E217" t="s">
        <v>36</v>
      </c>
      <c r="F217">
        <v>53280</v>
      </c>
      <c r="G217">
        <v>53280</v>
      </c>
      <c r="H217">
        <v>1</v>
      </c>
      <c r="I217">
        <f t="shared" si="33"/>
        <v>0</v>
      </c>
      <c r="J217">
        <v>0.42</v>
      </c>
      <c r="K217">
        <f t="shared" si="34"/>
        <v>22377.599999999999</v>
      </c>
      <c r="L217" t="s">
        <v>37</v>
      </c>
      <c r="M217" t="s">
        <v>38</v>
      </c>
      <c r="N217">
        <f t="shared" si="35"/>
        <v>6655.9933440000013</v>
      </c>
      <c r="O217">
        <f t="shared" si="36"/>
        <v>3.7351362186788084E-2</v>
      </c>
      <c r="P217" t="s">
        <v>39</v>
      </c>
      <c r="Q217">
        <f t="shared" si="37"/>
        <v>0.5767642642642643</v>
      </c>
      <c r="R217">
        <f t="shared" si="38"/>
        <v>30730.000000000004</v>
      </c>
      <c r="S217">
        <f t="shared" si="39"/>
        <v>30730.000000000004</v>
      </c>
      <c r="T217">
        <v>30730</v>
      </c>
      <c r="U217">
        <f t="shared" si="40"/>
        <v>-1.183852524273255E-16</v>
      </c>
      <c r="V217">
        <v>1</v>
      </c>
      <c r="W217">
        <v>0.22500000000000001</v>
      </c>
      <c r="X217">
        <f t="shared" si="41"/>
        <v>6914.2500000000009</v>
      </c>
      <c r="Y217">
        <f t="shared" si="42"/>
        <v>6914.2500000000009</v>
      </c>
      <c r="Z217">
        <f t="shared" si="43"/>
        <v>0</v>
      </c>
      <c r="AB217" t="s">
        <v>40</v>
      </c>
    </row>
    <row r="218" spans="1:28" x14ac:dyDescent="0.25">
      <c r="A218" t="s">
        <v>106</v>
      </c>
      <c r="D218" t="s">
        <v>254</v>
      </c>
      <c r="E218" t="s">
        <v>36</v>
      </c>
      <c r="F218">
        <v>80405</v>
      </c>
      <c r="G218">
        <v>80405</v>
      </c>
      <c r="H218">
        <v>1</v>
      </c>
      <c r="I218">
        <f t="shared" si="33"/>
        <v>0</v>
      </c>
      <c r="J218">
        <v>0.42</v>
      </c>
      <c r="K218">
        <f t="shared" si="34"/>
        <v>33770.1</v>
      </c>
      <c r="L218" t="s">
        <v>37</v>
      </c>
      <c r="M218" t="s">
        <v>38</v>
      </c>
      <c r="N218">
        <f t="shared" si="35"/>
        <v>10044.578544000002</v>
      </c>
      <c r="O218">
        <f t="shared" si="36"/>
        <v>3.7253152756810987E-2</v>
      </c>
      <c r="P218" t="s">
        <v>39</v>
      </c>
      <c r="Q218">
        <f t="shared" si="37"/>
        <v>0.5767054287668677</v>
      </c>
      <c r="R218">
        <f t="shared" si="38"/>
        <v>46370</v>
      </c>
      <c r="S218">
        <f t="shared" si="39"/>
        <v>46370</v>
      </c>
      <c r="T218">
        <v>46370</v>
      </c>
      <c r="U218">
        <f t="shared" si="40"/>
        <v>0</v>
      </c>
      <c r="V218">
        <v>1</v>
      </c>
      <c r="W218">
        <v>0.22500000000000001</v>
      </c>
      <c r="X218">
        <f t="shared" si="41"/>
        <v>10433.25</v>
      </c>
      <c r="Y218">
        <f t="shared" si="42"/>
        <v>10433.25</v>
      </c>
      <c r="Z218">
        <f t="shared" si="43"/>
        <v>0</v>
      </c>
      <c r="AB218" t="s">
        <v>40</v>
      </c>
    </row>
    <row r="219" spans="1:28" x14ac:dyDescent="0.25">
      <c r="A219" t="s">
        <v>106</v>
      </c>
      <c r="D219" t="s">
        <v>255</v>
      </c>
      <c r="E219" t="s">
        <v>36</v>
      </c>
      <c r="F219">
        <v>55780</v>
      </c>
      <c r="G219">
        <v>55780</v>
      </c>
      <c r="H219">
        <v>1</v>
      </c>
      <c r="I219">
        <f t="shared" si="33"/>
        <v>0</v>
      </c>
      <c r="J219">
        <v>0.42</v>
      </c>
      <c r="K219">
        <f t="shared" si="34"/>
        <v>23427.599999999999</v>
      </c>
      <c r="L219" t="s">
        <v>37</v>
      </c>
      <c r="M219" t="s">
        <v>38</v>
      </c>
      <c r="N219">
        <f t="shared" si="35"/>
        <v>6968.3053440000003</v>
      </c>
      <c r="O219">
        <f t="shared" si="36"/>
        <v>3.9682295400516751E-2</v>
      </c>
      <c r="P219" t="s">
        <v>39</v>
      </c>
      <c r="Q219">
        <f t="shared" si="37"/>
        <v>0.5781642165650771</v>
      </c>
      <c r="R219">
        <f t="shared" si="38"/>
        <v>32250</v>
      </c>
      <c r="S219">
        <f t="shared" si="39"/>
        <v>32250</v>
      </c>
      <c r="T219">
        <v>32250</v>
      </c>
      <c r="U219">
        <f t="shared" si="40"/>
        <v>0</v>
      </c>
      <c r="V219">
        <v>1</v>
      </c>
      <c r="W219">
        <v>0.22500000000000001</v>
      </c>
      <c r="X219">
        <f t="shared" si="41"/>
        <v>7256.25</v>
      </c>
      <c r="Y219">
        <f t="shared" si="42"/>
        <v>7256.25</v>
      </c>
      <c r="Z219">
        <f t="shared" si="43"/>
        <v>0</v>
      </c>
      <c r="AB219" t="s">
        <v>40</v>
      </c>
    </row>
    <row r="220" spans="1:28" x14ac:dyDescent="0.25">
      <c r="A220" t="s">
        <v>106</v>
      </c>
      <c r="D220" t="s">
        <v>256</v>
      </c>
      <c r="E220" t="s">
        <v>36</v>
      </c>
      <c r="F220">
        <v>83113</v>
      </c>
      <c r="G220">
        <v>83113</v>
      </c>
      <c r="H220">
        <v>1</v>
      </c>
      <c r="I220">
        <f t="shared" si="33"/>
        <v>0</v>
      </c>
      <c r="J220">
        <v>0.42</v>
      </c>
      <c r="K220">
        <f t="shared" si="34"/>
        <v>34907.46</v>
      </c>
      <c r="L220" t="s">
        <v>37</v>
      </c>
      <c r="M220" t="s">
        <v>38</v>
      </c>
      <c r="N220">
        <f t="shared" si="35"/>
        <v>10382.874902400003</v>
      </c>
      <c r="O220">
        <f t="shared" si="36"/>
        <v>3.6615643479471043E-2</v>
      </c>
      <c r="P220" t="s">
        <v>39</v>
      </c>
      <c r="Q220">
        <f t="shared" si="37"/>
        <v>0.57632380012753726</v>
      </c>
      <c r="R220">
        <f t="shared" si="38"/>
        <v>47900.000000000007</v>
      </c>
      <c r="S220">
        <f t="shared" si="39"/>
        <v>47900.000000000007</v>
      </c>
      <c r="T220">
        <v>47900</v>
      </c>
      <c r="U220">
        <f t="shared" si="40"/>
        <v>-1.5189890635038466E-16</v>
      </c>
      <c r="V220">
        <v>1</v>
      </c>
      <c r="W220">
        <v>0.22500000000000001</v>
      </c>
      <c r="X220">
        <f t="shared" si="41"/>
        <v>10777.500000000002</v>
      </c>
      <c r="Y220">
        <f t="shared" si="42"/>
        <v>10777.500000000002</v>
      </c>
      <c r="Z220">
        <f t="shared" si="43"/>
        <v>0</v>
      </c>
      <c r="AB220" t="s">
        <v>40</v>
      </c>
    </row>
    <row r="221" spans="1:28" x14ac:dyDescent="0.25">
      <c r="A221" t="s">
        <v>106</v>
      </c>
      <c r="D221" t="s">
        <v>257</v>
      </c>
      <c r="E221" t="s">
        <v>36</v>
      </c>
      <c r="F221">
        <v>55780</v>
      </c>
      <c r="G221">
        <v>55780</v>
      </c>
      <c r="H221">
        <v>1</v>
      </c>
      <c r="I221">
        <f t="shared" si="33"/>
        <v>0</v>
      </c>
      <c r="J221">
        <v>0.42</v>
      </c>
      <c r="K221">
        <f t="shared" si="34"/>
        <v>23427.599999999999</v>
      </c>
      <c r="L221" t="s">
        <v>37</v>
      </c>
      <c r="M221" t="s">
        <v>38</v>
      </c>
      <c r="N221">
        <f t="shared" si="35"/>
        <v>6968.3053440000003</v>
      </c>
      <c r="O221">
        <f t="shared" si="36"/>
        <v>3.9682295400516751E-2</v>
      </c>
      <c r="P221" t="s">
        <v>39</v>
      </c>
      <c r="Q221">
        <f t="shared" si="37"/>
        <v>0.5781642165650771</v>
      </c>
      <c r="R221">
        <f t="shared" si="38"/>
        <v>32250</v>
      </c>
      <c r="S221">
        <f t="shared" si="39"/>
        <v>32250</v>
      </c>
      <c r="T221">
        <v>32250</v>
      </c>
      <c r="U221">
        <f t="shared" si="40"/>
        <v>0</v>
      </c>
      <c r="V221">
        <v>1</v>
      </c>
      <c r="W221">
        <v>0.22500000000000001</v>
      </c>
      <c r="X221">
        <f t="shared" si="41"/>
        <v>7256.25</v>
      </c>
      <c r="Y221">
        <f t="shared" si="42"/>
        <v>7256.25</v>
      </c>
      <c r="Z221">
        <f t="shared" si="43"/>
        <v>0</v>
      </c>
      <c r="AB221" t="s">
        <v>40</v>
      </c>
    </row>
    <row r="222" spans="1:28" x14ac:dyDescent="0.25">
      <c r="A222" t="s">
        <v>106</v>
      </c>
      <c r="D222" t="s">
        <v>258</v>
      </c>
      <c r="E222" t="s">
        <v>36</v>
      </c>
      <c r="F222">
        <v>83113</v>
      </c>
      <c r="G222">
        <v>83113</v>
      </c>
      <c r="H222">
        <v>1</v>
      </c>
      <c r="I222">
        <f t="shared" si="33"/>
        <v>0</v>
      </c>
      <c r="J222">
        <v>0.42</v>
      </c>
      <c r="K222">
        <f t="shared" si="34"/>
        <v>34907.46</v>
      </c>
      <c r="L222" t="s">
        <v>37</v>
      </c>
      <c r="M222" t="s">
        <v>38</v>
      </c>
      <c r="N222">
        <f t="shared" si="35"/>
        <v>10382.874902400003</v>
      </c>
      <c r="O222">
        <f t="shared" si="36"/>
        <v>3.6615643479471043E-2</v>
      </c>
      <c r="P222" t="s">
        <v>39</v>
      </c>
      <c r="Q222">
        <f t="shared" si="37"/>
        <v>0.57632380012753726</v>
      </c>
      <c r="R222">
        <f t="shared" si="38"/>
        <v>47900.000000000007</v>
      </c>
      <c r="S222">
        <f t="shared" si="39"/>
        <v>47900.000000000007</v>
      </c>
      <c r="T222">
        <v>47900</v>
      </c>
      <c r="U222">
        <f t="shared" si="40"/>
        <v>-1.5189890635038466E-16</v>
      </c>
      <c r="V222">
        <v>1</v>
      </c>
      <c r="W222">
        <v>0.22500000000000001</v>
      </c>
      <c r="X222">
        <f t="shared" si="41"/>
        <v>10777.500000000002</v>
      </c>
      <c r="Y222">
        <f t="shared" si="42"/>
        <v>10777.500000000002</v>
      </c>
      <c r="Z222">
        <f t="shared" si="43"/>
        <v>0</v>
      </c>
      <c r="AB222" t="s">
        <v>40</v>
      </c>
    </row>
    <row r="223" spans="1:28" x14ac:dyDescent="0.25">
      <c r="A223" t="s">
        <v>106</v>
      </c>
      <c r="D223" t="s">
        <v>259</v>
      </c>
      <c r="E223" t="s">
        <v>36</v>
      </c>
      <c r="F223">
        <v>62030</v>
      </c>
      <c r="G223">
        <v>62030</v>
      </c>
      <c r="H223">
        <v>1</v>
      </c>
      <c r="I223">
        <f t="shared" si="33"/>
        <v>0</v>
      </c>
      <c r="J223">
        <v>0.42</v>
      </c>
      <c r="K223">
        <f t="shared" si="34"/>
        <v>26052.6</v>
      </c>
      <c r="L223" t="s">
        <v>37</v>
      </c>
      <c r="M223" t="s">
        <v>38</v>
      </c>
      <c r="N223">
        <f t="shared" si="35"/>
        <v>7749.0853440000001</v>
      </c>
      <c r="O223">
        <f t="shared" si="36"/>
        <v>3.7978231657355671E-2</v>
      </c>
      <c r="P223" t="s">
        <v>39</v>
      </c>
      <c r="Q223">
        <f t="shared" si="37"/>
        <v>0.57714009350314366</v>
      </c>
      <c r="R223">
        <f t="shared" si="38"/>
        <v>35800</v>
      </c>
      <c r="S223">
        <f t="shared" si="39"/>
        <v>35800</v>
      </c>
      <c r="T223">
        <v>35800</v>
      </c>
      <c r="U223">
        <f t="shared" si="40"/>
        <v>0</v>
      </c>
      <c r="V223">
        <v>1</v>
      </c>
      <c r="W223">
        <v>0.22500000000000001</v>
      </c>
      <c r="X223">
        <f t="shared" si="41"/>
        <v>8055</v>
      </c>
      <c r="Y223">
        <f t="shared" si="42"/>
        <v>8055</v>
      </c>
      <c r="Z223">
        <f t="shared" si="43"/>
        <v>0</v>
      </c>
      <c r="AB223" t="s">
        <v>40</v>
      </c>
    </row>
    <row r="224" spans="1:28" x14ac:dyDescent="0.25">
      <c r="A224" t="s">
        <v>106</v>
      </c>
      <c r="D224" t="s">
        <v>260</v>
      </c>
      <c r="E224" t="s">
        <v>36</v>
      </c>
      <c r="F224">
        <v>89155</v>
      </c>
      <c r="G224">
        <v>89155</v>
      </c>
      <c r="H224">
        <v>1</v>
      </c>
      <c r="I224">
        <f t="shared" si="33"/>
        <v>0</v>
      </c>
      <c r="J224">
        <v>0.42</v>
      </c>
      <c r="K224">
        <f t="shared" si="34"/>
        <v>37445.1</v>
      </c>
      <c r="L224" t="s">
        <v>37</v>
      </c>
      <c r="M224" t="s">
        <v>38</v>
      </c>
      <c r="N224">
        <f t="shared" si="35"/>
        <v>11137.670544000001</v>
      </c>
      <c r="O224">
        <f t="shared" si="36"/>
        <v>3.7699106272680104E-2</v>
      </c>
      <c r="P224" t="s">
        <v>39</v>
      </c>
      <c r="Q224">
        <f t="shared" si="37"/>
        <v>0.57697268801525436</v>
      </c>
      <c r="R224">
        <f t="shared" si="38"/>
        <v>51440</v>
      </c>
      <c r="S224">
        <f t="shared" si="39"/>
        <v>51440</v>
      </c>
      <c r="T224">
        <v>51440</v>
      </c>
      <c r="U224">
        <f t="shared" si="40"/>
        <v>0</v>
      </c>
      <c r="V224">
        <v>1</v>
      </c>
      <c r="W224">
        <v>0.22500000000000001</v>
      </c>
      <c r="X224">
        <f t="shared" si="41"/>
        <v>11574</v>
      </c>
      <c r="Y224">
        <f t="shared" si="42"/>
        <v>11574</v>
      </c>
      <c r="Z224">
        <f t="shared" si="43"/>
        <v>0</v>
      </c>
      <c r="AB224" t="s">
        <v>40</v>
      </c>
    </row>
    <row r="225" spans="1:28" x14ac:dyDescent="0.25">
      <c r="A225" t="s">
        <v>106</v>
      </c>
      <c r="D225" t="s">
        <v>261</v>
      </c>
      <c r="E225" t="s">
        <v>36</v>
      </c>
      <c r="F225">
        <v>69738</v>
      </c>
      <c r="G225">
        <v>69738</v>
      </c>
      <c r="H225">
        <v>1</v>
      </c>
      <c r="I225">
        <f t="shared" si="33"/>
        <v>0</v>
      </c>
      <c r="J225">
        <v>0.42</v>
      </c>
      <c r="K225">
        <f t="shared" si="34"/>
        <v>29289.96</v>
      </c>
      <c r="L225" t="s">
        <v>37</v>
      </c>
      <c r="M225" t="s">
        <v>38</v>
      </c>
      <c r="N225">
        <f t="shared" si="35"/>
        <v>8712.0057023999998</v>
      </c>
      <c r="O225">
        <f t="shared" si="36"/>
        <v>3.7294248035803106E-2</v>
      </c>
      <c r="P225" t="s">
        <v>39</v>
      </c>
      <c r="Q225">
        <f t="shared" si="37"/>
        <v>0.57673004674639361</v>
      </c>
      <c r="R225">
        <f t="shared" si="38"/>
        <v>40220</v>
      </c>
      <c r="S225">
        <f t="shared" si="39"/>
        <v>40220</v>
      </c>
      <c r="T225">
        <v>40220</v>
      </c>
      <c r="U225">
        <f t="shared" si="40"/>
        <v>0</v>
      </c>
      <c r="V225">
        <v>1</v>
      </c>
      <c r="W225">
        <v>0.22500000000000001</v>
      </c>
      <c r="X225">
        <f t="shared" si="41"/>
        <v>9049.5</v>
      </c>
      <c r="Y225">
        <f t="shared" si="42"/>
        <v>9049.5</v>
      </c>
      <c r="Z225">
        <f t="shared" si="43"/>
        <v>0</v>
      </c>
      <c r="AB225" t="s">
        <v>40</v>
      </c>
    </row>
    <row r="226" spans="1:28" x14ac:dyDescent="0.25">
      <c r="A226" t="s">
        <v>106</v>
      </c>
      <c r="D226" t="s">
        <v>262</v>
      </c>
      <c r="E226" t="s">
        <v>36</v>
      </c>
      <c r="F226">
        <v>96863</v>
      </c>
      <c r="G226">
        <v>96863</v>
      </c>
      <c r="H226">
        <v>1</v>
      </c>
      <c r="I226">
        <f t="shared" si="33"/>
        <v>0</v>
      </c>
      <c r="J226">
        <v>0.42</v>
      </c>
      <c r="K226">
        <f t="shared" si="34"/>
        <v>40682.46</v>
      </c>
      <c r="L226" t="s">
        <v>37</v>
      </c>
      <c r="M226" t="s">
        <v>38</v>
      </c>
      <c r="N226">
        <f t="shared" si="35"/>
        <v>12100.590902400001</v>
      </c>
      <c r="O226">
        <f t="shared" si="36"/>
        <v>3.7228714452798572E-2</v>
      </c>
      <c r="P226" t="s">
        <v>39</v>
      </c>
      <c r="Q226">
        <f t="shared" si="37"/>
        <v>0.57669079008496538</v>
      </c>
      <c r="R226">
        <f t="shared" si="38"/>
        <v>55860</v>
      </c>
      <c r="S226">
        <f t="shared" si="39"/>
        <v>55860</v>
      </c>
      <c r="T226">
        <v>55860</v>
      </c>
      <c r="U226">
        <f t="shared" si="40"/>
        <v>0</v>
      </c>
      <c r="V226">
        <v>1</v>
      </c>
      <c r="W226">
        <v>0.22500000000000001</v>
      </c>
      <c r="X226">
        <f t="shared" si="41"/>
        <v>12568.5</v>
      </c>
      <c r="Y226">
        <f t="shared" si="42"/>
        <v>12568.5</v>
      </c>
      <c r="Z226">
        <f t="shared" si="43"/>
        <v>0</v>
      </c>
      <c r="AB226" t="s">
        <v>40</v>
      </c>
    </row>
    <row r="227" spans="1:28" x14ac:dyDescent="0.25">
      <c r="A227" t="s">
        <v>106</v>
      </c>
      <c r="D227" t="s">
        <v>263</v>
      </c>
      <c r="E227" t="s">
        <v>36</v>
      </c>
      <c r="F227">
        <v>69738</v>
      </c>
      <c r="G227">
        <v>69738</v>
      </c>
      <c r="H227">
        <v>1</v>
      </c>
      <c r="I227">
        <f t="shared" si="33"/>
        <v>0</v>
      </c>
      <c r="J227">
        <v>0.42</v>
      </c>
      <c r="K227">
        <f t="shared" si="34"/>
        <v>29289.96</v>
      </c>
      <c r="L227" t="s">
        <v>37</v>
      </c>
      <c r="M227" t="s">
        <v>38</v>
      </c>
      <c r="N227">
        <f t="shared" si="35"/>
        <v>8712.0057023999998</v>
      </c>
      <c r="O227">
        <f t="shared" si="36"/>
        <v>3.7294248035803106E-2</v>
      </c>
      <c r="P227" t="s">
        <v>39</v>
      </c>
      <c r="Q227">
        <f t="shared" si="37"/>
        <v>0.57673004674639361</v>
      </c>
      <c r="R227">
        <f t="shared" si="38"/>
        <v>40220</v>
      </c>
      <c r="S227">
        <f t="shared" si="39"/>
        <v>40220</v>
      </c>
      <c r="T227">
        <v>40220</v>
      </c>
      <c r="U227">
        <f t="shared" si="40"/>
        <v>0</v>
      </c>
      <c r="V227">
        <v>1</v>
      </c>
      <c r="W227">
        <v>0.22500000000000001</v>
      </c>
      <c r="X227">
        <f t="shared" si="41"/>
        <v>9049.5</v>
      </c>
      <c r="Y227">
        <f t="shared" si="42"/>
        <v>9049.5</v>
      </c>
      <c r="Z227">
        <f t="shared" si="43"/>
        <v>0</v>
      </c>
      <c r="AB227" t="s">
        <v>40</v>
      </c>
    </row>
    <row r="228" spans="1:28" x14ac:dyDescent="0.25">
      <c r="A228" t="s">
        <v>106</v>
      </c>
      <c r="D228" t="s">
        <v>264</v>
      </c>
      <c r="E228" t="s">
        <v>36</v>
      </c>
      <c r="F228">
        <v>96863</v>
      </c>
      <c r="G228">
        <v>96863</v>
      </c>
      <c r="H228">
        <v>1</v>
      </c>
      <c r="I228">
        <f t="shared" si="33"/>
        <v>0</v>
      </c>
      <c r="J228">
        <v>0.42</v>
      </c>
      <c r="K228">
        <f t="shared" si="34"/>
        <v>40682.46</v>
      </c>
      <c r="L228" t="s">
        <v>37</v>
      </c>
      <c r="M228" t="s">
        <v>38</v>
      </c>
      <c r="N228">
        <f t="shared" si="35"/>
        <v>12100.590902400001</v>
      </c>
      <c r="O228">
        <f t="shared" si="36"/>
        <v>3.7228714452798572E-2</v>
      </c>
      <c r="P228" t="s">
        <v>39</v>
      </c>
      <c r="Q228">
        <f t="shared" si="37"/>
        <v>0.57669079008496538</v>
      </c>
      <c r="R228">
        <f t="shared" si="38"/>
        <v>55860</v>
      </c>
      <c r="S228">
        <f t="shared" si="39"/>
        <v>55860</v>
      </c>
      <c r="T228">
        <v>55860</v>
      </c>
      <c r="U228">
        <f t="shared" si="40"/>
        <v>0</v>
      </c>
      <c r="V228">
        <v>1</v>
      </c>
      <c r="W228">
        <v>0.22500000000000001</v>
      </c>
      <c r="X228">
        <f t="shared" si="41"/>
        <v>12568.5</v>
      </c>
      <c r="Y228">
        <f t="shared" si="42"/>
        <v>12568.5</v>
      </c>
      <c r="Z228">
        <f t="shared" si="43"/>
        <v>0</v>
      </c>
      <c r="AB228" t="s">
        <v>40</v>
      </c>
    </row>
    <row r="229" spans="1:28" x14ac:dyDescent="0.25">
      <c r="A229" t="s">
        <v>106</v>
      </c>
      <c r="D229" t="s">
        <v>265</v>
      </c>
      <c r="E229" t="s">
        <v>36</v>
      </c>
      <c r="F229">
        <v>58192</v>
      </c>
      <c r="G229">
        <v>58192</v>
      </c>
      <c r="H229">
        <v>1</v>
      </c>
      <c r="I229">
        <f t="shared" si="33"/>
        <v>0</v>
      </c>
      <c r="J229">
        <v>0.42</v>
      </c>
      <c r="K229">
        <f t="shared" si="34"/>
        <v>24440.639999999999</v>
      </c>
      <c r="L229" t="s">
        <v>37</v>
      </c>
      <c r="M229" t="s">
        <v>38</v>
      </c>
      <c r="N229">
        <f t="shared" si="35"/>
        <v>7269.6239616000012</v>
      </c>
      <c r="O229">
        <f t="shared" si="36"/>
        <v>3.9267325919317912E-2</v>
      </c>
      <c r="P229" t="s">
        <v>39</v>
      </c>
      <c r="Q229">
        <f t="shared" si="37"/>
        <v>0.57791448996425621</v>
      </c>
      <c r="R229">
        <f t="shared" si="38"/>
        <v>33630</v>
      </c>
      <c r="S229">
        <f t="shared" si="39"/>
        <v>33630</v>
      </c>
      <c r="T229">
        <v>33630</v>
      </c>
      <c r="U229">
        <f t="shared" si="40"/>
        <v>0</v>
      </c>
      <c r="V229">
        <v>1</v>
      </c>
      <c r="W229">
        <v>0.22500000000000001</v>
      </c>
      <c r="X229">
        <f t="shared" si="41"/>
        <v>7566.75</v>
      </c>
      <c r="Y229">
        <f t="shared" si="42"/>
        <v>7566.75</v>
      </c>
      <c r="Z229">
        <f t="shared" si="43"/>
        <v>0</v>
      </c>
      <c r="AB229" t="s">
        <v>40</v>
      </c>
    </row>
    <row r="230" spans="1:28" x14ac:dyDescent="0.25">
      <c r="A230" t="s">
        <v>106</v>
      </c>
      <c r="D230" t="s">
        <v>266</v>
      </c>
      <c r="E230" t="s">
        <v>36</v>
      </c>
      <c r="F230">
        <v>89900</v>
      </c>
      <c r="G230">
        <v>89900</v>
      </c>
      <c r="H230">
        <v>1</v>
      </c>
      <c r="I230">
        <f t="shared" si="33"/>
        <v>0</v>
      </c>
      <c r="J230">
        <v>0.42</v>
      </c>
      <c r="K230">
        <f t="shared" si="34"/>
        <v>37758</v>
      </c>
      <c r="L230" t="s">
        <v>37</v>
      </c>
      <c r="M230" t="s">
        <v>38</v>
      </c>
      <c r="N230">
        <f t="shared" si="35"/>
        <v>11230.739520000001</v>
      </c>
      <c r="O230">
        <f t="shared" si="36"/>
        <v>3.6587572540693475E-2</v>
      </c>
      <c r="P230" t="s">
        <v>39</v>
      </c>
      <c r="Q230">
        <f t="shared" si="37"/>
        <v>0.5763070077864294</v>
      </c>
      <c r="R230">
        <f t="shared" si="38"/>
        <v>51810</v>
      </c>
      <c r="S230">
        <f t="shared" si="39"/>
        <v>51810</v>
      </c>
      <c r="T230">
        <v>51810</v>
      </c>
      <c r="U230">
        <f t="shared" si="40"/>
        <v>0</v>
      </c>
      <c r="V230">
        <v>1</v>
      </c>
      <c r="W230">
        <v>0.22500000000000001</v>
      </c>
      <c r="X230">
        <f t="shared" si="41"/>
        <v>11657.25</v>
      </c>
      <c r="Y230">
        <f t="shared" si="42"/>
        <v>11657.25</v>
      </c>
      <c r="Z230">
        <f t="shared" si="43"/>
        <v>0</v>
      </c>
      <c r="AB230" t="s">
        <v>40</v>
      </c>
    </row>
    <row r="231" spans="1:28" x14ac:dyDescent="0.25">
      <c r="A231" t="s">
        <v>106</v>
      </c>
      <c r="D231" t="s">
        <v>267</v>
      </c>
      <c r="E231" t="s">
        <v>36</v>
      </c>
      <c r="F231">
        <v>58192</v>
      </c>
      <c r="G231">
        <v>58192</v>
      </c>
      <c r="H231">
        <v>1</v>
      </c>
      <c r="I231">
        <f t="shared" si="33"/>
        <v>0</v>
      </c>
      <c r="J231">
        <v>0.42</v>
      </c>
      <c r="K231">
        <f t="shared" si="34"/>
        <v>24440.639999999999</v>
      </c>
      <c r="L231" t="s">
        <v>37</v>
      </c>
      <c r="M231" t="s">
        <v>38</v>
      </c>
      <c r="N231">
        <f t="shared" si="35"/>
        <v>7269.6239616000012</v>
      </c>
      <c r="O231">
        <f t="shared" si="36"/>
        <v>3.9267325919317912E-2</v>
      </c>
      <c r="P231" t="s">
        <v>39</v>
      </c>
      <c r="Q231">
        <f t="shared" si="37"/>
        <v>0.57791448996425621</v>
      </c>
      <c r="R231">
        <f t="shared" si="38"/>
        <v>33630</v>
      </c>
      <c r="S231">
        <f t="shared" si="39"/>
        <v>33630</v>
      </c>
      <c r="T231">
        <v>33630</v>
      </c>
      <c r="U231">
        <f t="shared" si="40"/>
        <v>0</v>
      </c>
      <c r="V231">
        <v>1</v>
      </c>
      <c r="W231">
        <v>0.22500000000000001</v>
      </c>
      <c r="X231">
        <f t="shared" si="41"/>
        <v>7566.75</v>
      </c>
      <c r="Y231">
        <f t="shared" si="42"/>
        <v>7566.75</v>
      </c>
      <c r="Z231">
        <f t="shared" si="43"/>
        <v>0</v>
      </c>
      <c r="AB231" t="s">
        <v>40</v>
      </c>
    </row>
    <row r="232" spans="1:28" x14ac:dyDescent="0.25">
      <c r="A232" t="s">
        <v>106</v>
      </c>
      <c r="D232" t="s">
        <v>268</v>
      </c>
      <c r="E232" t="s">
        <v>36</v>
      </c>
      <c r="F232">
        <v>89900</v>
      </c>
      <c r="G232">
        <v>89900</v>
      </c>
      <c r="H232">
        <v>1</v>
      </c>
      <c r="I232">
        <f t="shared" si="33"/>
        <v>0</v>
      </c>
      <c r="J232">
        <v>0.42</v>
      </c>
      <c r="K232">
        <f t="shared" si="34"/>
        <v>37758</v>
      </c>
      <c r="L232" t="s">
        <v>37</v>
      </c>
      <c r="M232" t="s">
        <v>38</v>
      </c>
      <c r="N232">
        <f t="shared" si="35"/>
        <v>11230.739520000001</v>
      </c>
      <c r="O232">
        <f t="shared" si="36"/>
        <v>3.6587572540693475E-2</v>
      </c>
      <c r="P232" t="s">
        <v>39</v>
      </c>
      <c r="Q232">
        <f t="shared" si="37"/>
        <v>0.5763070077864294</v>
      </c>
      <c r="R232">
        <f t="shared" si="38"/>
        <v>51810</v>
      </c>
      <c r="S232">
        <f t="shared" si="39"/>
        <v>51810</v>
      </c>
      <c r="T232">
        <v>51810</v>
      </c>
      <c r="U232">
        <f t="shared" si="40"/>
        <v>0</v>
      </c>
      <c r="V232">
        <v>1</v>
      </c>
      <c r="W232">
        <v>0.22500000000000001</v>
      </c>
      <c r="X232">
        <f t="shared" si="41"/>
        <v>11657.25</v>
      </c>
      <c r="Y232">
        <f t="shared" si="42"/>
        <v>11657.25</v>
      </c>
      <c r="Z232">
        <f t="shared" si="43"/>
        <v>0</v>
      </c>
      <c r="AB232" t="s">
        <v>40</v>
      </c>
    </row>
    <row r="233" spans="1:28" x14ac:dyDescent="0.25">
      <c r="A233" t="s">
        <v>106</v>
      </c>
      <c r="D233" t="s">
        <v>269</v>
      </c>
      <c r="E233" t="s">
        <v>36</v>
      </c>
      <c r="F233">
        <v>55900</v>
      </c>
      <c r="G233">
        <v>55900</v>
      </c>
      <c r="H233">
        <v>1</v>
      </c>
      <c r="I233">
        <f t="shared" si="33"/>
        <v>0</v>
      </c>
      <c r="J233">
        <v>0.42</v>
      </c>
      <c r="K233">
        <f t="shared" si="34"/>
        <v>23478</v>
      </c>
      <c r="L233" t="s">
        <v>37</v>
      </c>
      <c r="M233" t="s">
        <v>38</v>
      </c>
      <c r="N233">
        <f t="shared" si="35"/>
        <v>6983.2963200000004</v>
      </c>
      <c r="O233">
        <f t="shared" si="36"/>
        <v>3.9700726072607329E-2</v>
      </c>
      <c r="P233" t="s">
        <v>39</v>
      </c>
      <c r="Q233">
        <f t="shared" si="37"/>
        <v>0.57817531305903402</v>
      </c>
      <c r="R233">
        <f t="shared" si="38"/>
        <v>32320.000000000004</v>
      </c>
      <c r="S233">
        <f t="shared" si="39"/>
        <v>32320.000000000004</v>
      </c>
      <c r="T233">
        <v>32320</v>
      </c>
      <c r="U233">
        <f t="shared" si="40"/>
        <v>-1.1256122546694654E-16</v>
      </c>
      <c r="V233">
        <v>1</v>
      </c>
      <c r="W233">
        <v>0.22500000000000001</v>
      </c>
      <c r="X233">
        <f t="shared" si="41"/>
        <v>7272.0000000000009</v>
      </c>
      <c r="Y233">
        <f t="shared" si="42"/>
        <v>7272.0000000000009</v>
      </c>
      <c r="Z233">
        <f t="shared" si="43"/>
        <v>0</v>
      </c>
      <c r="AB233" t="s">
        <v>40</v>
      </c>
    </row>
    <row r="234" spans="1:28" x14ac:dyDescent="0.25">
      <c r="A234" t="s">
        <v>106</v>
      </c>
      <c r="D234" t="s">
        <v>270</v>
      </c>
      <c r="E234" t="s">
        <v>36</v>
      </c>
      <c r="F234">
        <v>87608</v>
      </c>
      <c r="G234">
        <v>87608</v>
      </c>
      <c r="H234">
        <v>1</v>
      </c>
      <c r="I234">
        <f t="shared" si="33"/>
        <v>0</v>
      </c>
      <c r="J234">
        <v>0.42</v>
      </c>
      <c r="K234">
        <f t="shared" si="34"/>
        <v>36795.360000000001</v>
      </c>
      <c r="L234" t="s">
        <v>37</v>
      </c>
      <c r="M234" t="s">
        <v>38</v>
      </c>
      <c r="N234">
        <f t="shared" si="35"/>
        <v>10944.411878400002</v>
      </c>
      <c r="O234">
        <f t="shared" si="36"/>
        <v>3.6795434244224247E-2</v>
      </c>
      <c r="P234" t="s">
        <v>39</v>
      </c>
      <c r="Q234">
        <f t="shared" si="37"/>
        <v>0.57643137613003381</v>
      </c>
      <c r="R234">
        <f t="shared" si="38"/>
        <v>50500</v>
      </c>
      <c r="S234">
        <f t="shared" si="39"/>
        <v>50500</v>
      </c>
      <c r="T234">
        <v>50500</v>
      </c>
      <c r="U234">
        <f t="shared" si="40"/>
        <v>0</v>
      </c>
      <c r="V234">
        <v>1</v>
      </c>
      <c r="W234">
        <v>0.22500000000000001</v>
      </c>
      <c r="X234">
        <f t="shared" si="41"/>
        <v>11362.5</v>
      </c>
      <c r="Y234">
        <f t="shared" si="42"/>
        <v>11362.5</v>
      </c>
      <c r="Z234">
        <f t="shared" si="43"/>
        <v>0</v>
      </c>
      <c r="AB234" t="s">
        <v>40</v>
      </c>
    </row>
    <row r="235" spans="1:28" x14ac:dyDescent="0.25">
      <c r="A235" t="s">
        <v>106</v>
      </c>
      <c r="D235" t="s">
        <v>271</v>
      </c>
      <c r="E235" t="s">
        <v>36</v>
      </c>
      <c r="F235">
        <v>55900</v>
      </c>
      <c r="G235">
        <v>55900</v>
      </c>
      <c r="H235">
        <v>1</v>
      </c>
      <c r="I235">
        <f t="shared" si="33"/>
        <v>0</v>
      </c>
      <c r="J235">
        <v>0.42</v>
      </c>
      <c r="K235">
        <f t="shared" si="34"/>
        <v>23478</v>
      </c>
      <c r="L235" t="s">
        <v>37</v>
      </c>
      <c r="M235" t="s">
        <v>38</v>
      </c>
      <c r="N235">
        <f t="shared" si="35"/>
        <v>6983.2963200000004</v>
      </c>
      <c r="O235">
        <f t="shared" si="36"/>
        <v>3.9700726072607329E-2</v>
      </c>
      <c r="P235" t="s">
        <v>39</v>
      </c>
      <c r="Q235">
        <f t="shared" si="37"/>
        <v>0.57817531305903402</v>
      </c>
      <c r="R235">
        <f t="shared" si="38"/>
        <v>32320.000000000004</v>
      </c>
      <c r="S235">
        <f t="shared" si="39"/>
        <v>32320.000000000004</v>
      </c>
      <c r="T235">
        <v>32320</v>
      </c>
      <c r="U235">
        <f t="shared" si="40"/>
        <v>-1.1256122546694654E-16</v>
      </c>
      <c r="V235">
        <v>1</v>
      </c>
      <c r="W235">
        <v>0.22500000000000001</v>
      </c>
      <c r="X235">
        <f t="shared" si="41"/>
        <v>7272.0000000000009</v>
      </c>
      <c r="Y235">
        <f t="shared" si="42"/>
        <v>7272.0000000000009</v>
      </c>
      <c r="Z235">
        <f t="shared" si="43"/>
        <v>0</v>
      </c>
      <c r="AB235" t="s">
        <v>40</v>
      </c>
    </row>
    <row r="236" spans="1:28" x14ac:dyDescent="0.25">
      <c r="A236" t="s">
        <v>106</v>
      </c>
      <c r="D236" t="s">
        <v>272</v>
      </c>
      <c r="E236" t="s">
        <v>36</v>
      </c>
      <c r="F236">
        <v>87608</v>
      </c>
      <c r="G236">
        <v>87608</v>
      </c>
      <c r="H236">
        <v>1</v>
      </c>
      <c r="I236">
        <f t="shared" si="33"/>
        <v>0</v>
      </c>
      <c r="J236">
        <v>0.42</v>
      </c>
      <c r="K236">
        <f t="shared" si="34"/>
        <v>36795.360000000001</v>
      </c>
      <c r="L236" t="s">
        <v>37</v>
      </c>
      <c r="M236" t="s">
        <v>38</v>
      </c>
      <c r="N236">
        <f t="shared" si="35"/>
        <v>10944.411878400002</v>
      </c>
      <c r="O236">
        <f t="shared" si="36"/>
        <v>3.6795434244224247E-2</v>
      </c>
      <c r="P236" t="s">
        <v>39</v>
      </c>
      <c r="Q236">
        <f t="shared" si="37"/>
        <v>0.57643137613003381</v>
      </c>
      <c r="R236">
        <f t="shared" si="38"/>
        <v>50500</v>
      </c>
      <c r="S236">
        <f t="shared" si="39"/>
        <v>50500</v>
      </c>
      <c r="T236">
        <v>50500</v>
      </c>
      <c r="U236">
        <f t="shared" si="40"/>
        <v>0</v>
      </c>
      <c r="V236">
        <v>1</v>
      </c>
      <c r="W236">
        <v>0.22500000000000001</v>
      </c>
      <c r="X236">
        <f t="shared" si="41"/>
        <v>11362.5</v>
      </c>
      <c r="Y236">
        <f t="shared" si="42"/>
        <v>11362.5</v>
      </c>
      <c r="Z236">
        <f t="shared" si="43"/>
        <v>0</v>
      </c>
      <c r="AB236" t="s">
        <v>40</v>
      </c>
    </row>
    <row r="237" spans="1:28" x14ac:dyDescent="0.25">
      <c r="A237" t="s">
        <v>106</v>
      </c>
      <c r="D237" t="s">
        <v>273</v>
      </c>
      <c r="E237" t="s">
        <v>36</v>
      </c>
      <c r="F237">
        <v>55900</v>
      </c>
      <c r="G237">
        <v>55900</v>
      </c>
      <c r="H237">
        <v>1</v>
      </c>
      <c r="I237">
        <f t="shared" si="33"/>
        <v>0</v>
      </c>
      <c r="J237">
        <v>0.42</v>
      </c>
      <c r="K237">
        <f t="shared" si="34"/>
        <v>23478</v>
      </c>
      <c r="L237" t="s">
        <v>37</v>
      </c>
      <c r="M237" t="s">
        <v>38</v>
      </c>
      <c r="N237">
        <f t="shared" si="35"/>
        <v>6983.2963200000004</v>
      </c>
      <c r="O237">
        <f t="shared" si="36"/>
        <v>3.9700726072607329E-2</v>
      </c>
      <c r="P237" t="s">
        <v>39</v>
      </c>
      <c r="Q237">
        <f t="shared" si="37"/>
        <v>0.57817531305903402</v>
      </c>
      <c r="R237">
        <f t="shared" si="38"/>
        <v>32320.000000000004</v>
      </c>
      <c r="S237">
        <f t="shared" si="39"/>
        <v>32320.000000000004</v>
      </c>
      <c r="T237">
        <v>32320</v>
      </c>
      <c r="U237">
        <f t="shared" si="40"/>
        <v>-1.1256122546694654E-16</v>
      </c>
      <c r="V237">
        <v>1</v>
      </c>
      <c r="W237">
        <v>0.22500000000000001</v>
      </c>
      <c r="X237">
        <f t="shared" si="41"/>
        <v>7272.0000000000009</v>
      </c>
      <c r="Y237">
        <f t="shared" si="42"/>
        <v>7272.0000000000009</v>
      </c>
      <c r="Z237">
        <f t="shared" si="43"/>
        <v>0</v>
      </c>
      <c r="AB237" t="s">
        <v>40</v>
      </c>
    </row>
    <row r="238" spans="1:28" x14ac:dyDescent="0.25">
      <c r="A238" t="s">
        <v>106</v>
      </c>
      <c r="D238" t="s">
        <v>274</v>
      </c>
      <c r="E238" t="s">
        <v>36</v>
      </c>
      <c r="F238">
        <v>87608</v>
      </c>
      <c r="G238">
        <v>87608</v>
      </c>
      <c r="H238">
        <v>1</v>
      </c>
      <c r="I238">
        <f t="shared" si="33"/>
        <v>0</v>
      </c>
      <c r="J238">
        <v>0.42</v>
      </c>
      <c r="K238">
        <f t="shared" si="34"/>
        <v>36795.360000000001</v>
      </c>
      <c r="L238" t="s">
        <v>37</v>
      </c>
      <c r="M238" t="s">
        <v>38</v>
      </c>
      <c r="N238">
        <f t="shared" si="35"/>
        <v>10944.411878400002</v>
      </c>
      <c r="O238">
        <f t="shared" si="36"/>
        <v>3.6795434244224247E-2</v>
      </c>
      <c r="P238" t="s">
        <v>39</v>
      </c>
      <c r="Q238">
        <f t="shared" si="37"/>
        <v>0.57643137613003381</v>
      </c>
      <c r="R238">
        <f t="shared" si="38"/>
        <v>50500</v>
      </c>
      <c r="S238">
        <f t="shared" si="39"/>
        <v>50500</v>
      </c>
      <c r="T238">
        <v>50500</v>
      </c>
      <c r="U238">
        <f t="shared" si="40"/>
        <v>0</v>
      </c>
      <c r="V238">
        <v>1</v>
      </c>
      <c r="W238">
        <v>0.22500000000000001</v>
      </c>
      <c r="X238">
        <f t="shared" si="41"/>
        <v>11362.5</v>
      </c>
      <c r="Y238">
        <f t="shared" si="42"/>
        <v>11362.5</v>
      </c>
      <c r="Z238">
        <f t="shared" si="43"/>
        <v>0</v>
      </c>
      <c r="AB238" t="s">
        <v>40</v>
      </c>
    </row>
    <row r="239" spans="1:28" x14ac:dyDescent="0.25">
      <c r="A239" t="s">
        <v>106</v>
      </c>
      <c r="D239" t="s">
        <v>275</v>
      </c>
      <c r="E239" t="s">
        <v>36</v>
      </c>
      <c r="F239">
        <v>55900</v>
      </c>
      <c r="G239">
        <v>55900</v>
      </c>
      <c r="H239">
        <v>1</v>
      </c>
      <c r="I239">
        <f t="shared" si="33"/>
        <v>0</v>
      </c>
      <c r="J239">
        <v>0.42</v>
      </c>
      <c r="K239">
        <f t="shared" si="34"/>
        <v>23478</v>
      </c>
      <c r="L239" t="s">
        <v>37</v>
      </c>
      <c r="M239" t="s">
        <v>38</v>
      </c>
      <c r="N239">
        <f t="shared" si="35"/>
        <v>6983.2963200000004</v>
      </c>
      <c r="O239">
        <f t="shared" si="36"/>
        <v>3.9700726072607329E-2</v>
      </c>
      <c r="P239" t="s">
        <v>39</v>
      </c>
      <c r="Q239">
        <f t="shared" si="37"/>
        <v>0.57817531305903402</v>
      </c>
      <c r="R239">
        <f t="shared" si="38"/>
        <v>32320.000000000004</v>
      </c>
      <c r="S239">
        <f t="shared" si="39"/>
        <v>32320.000000000004</v>
      </c>
      <c r="T239">
        <v>32320</v>
      </c>
      <c r="U239">
        <f t="shared" si="40"/>
        <v>-1.1256122546694654E-16</v>
      </c>
      <c r="V239">
        <v>1</v>
      </c>
      <c r="W239">
        <v>0.22500000000000001</v>
      </c>
      <c r="X239">
        <f t="shared" si="41"/>
        <v>7272.0000000000009</v>
      </c>
      <c r="Y239">
        <f t="shared" si="42"/>
        <v>7272.0000000000009</v>
      </c>
      <c r="Z239">
        <f t="shared" si="43"/>
        <v>0</v>
      </c>
      <c r="AB239" t="s">
        <v>40</v>
      </c>
    </row>
    <row r="240" spans="1:28" x14ac:dyDescent="0.25">
      <c r="A240" t="s">
        <v>106</v>
      </c>
      <c r="D240" t="s">
        <v>276</v>
      </c>
      <c r="E240" t="s">
        <v>36</v>
      </c>
      <c r="F240">
        <v>87608</v>
      </c>
      <c r="G240">
        <v>87608</v>
      </c>
      <c r="H240">
        <v>1</v>
      </c>
      <c r="I240">
        <f t="shared" si="33"/>
        <v>0</v>
      </c>
      <c r="J240">
        <v>0.42</v>
      </c>
      <c r="K240">
        <f t="shared" si="34"/>
        <v>36795.360000000001</v>
      </c>
      <c r="L240" t="s">
        <v>37</v>
      </c>
      <c r="M240" t="s">
        <v>38</v>
      </c>
      <c r="N240">
        <f t="shared" si="35"/>
        <v>10944.411878400002</v>
      </c>
      <c r="O240">
        <f t="shared" si="36"/>
        <v>3.6795434244224247E-2</v>
      </c>
      <c r="P240" t="s">
        <v>39</v>
      </c>
      <c r="Q240">
        <f t="shared" si="37"/>
        <v>0.57643137613003381</v>
      </c>
      <c r="R240">
        <f t="shared" si="38"/>
        <v>50500</v>
      </c>
      <c r="S240">
        <f t="shared" si="39"/>
        <v>50500</v>
      </c>
      <c r="T240">
        <v>50500</v>
      </c>
      <c r="U240">
        <f t="shared" si="40"/>
        <v>0</v>
      </c>
      <c r="V240">
        <v>1</v>
      </c>
      <c r="W240">
        <v>0.22500000000000001</v>
      </c>
      <c r="X240">
        <f t="shared" si="41"/>
        <v>11362.5</v>
      </c>
      <c r="Y240">
        <f t="shared" si="42"/>
        <v>11362.5</v>
      </c>
      <c r="Z240">
        <f t="shared" si="43"/>
        <v>0</v>
      </c>
      <c r="AB240" t="s">
        <v>40</v>
      </c>
    </row>
    <row r="241" spans="1:28" x14ac:dyDescent="0.25">
      <c r="A241" t="s">
        <v>106</v>
      </c>
      <c r="D241" t="s">
        <v>277</v>
      </c>
      <c r="E241" t="s">
        <v>36</v>
      </c>
      <c r="F241">
        <v>58192</v>
      </c>
      <c r="G241">
        <v>58192</v>
      </c>
      <c r="H241">
        <v>1</v>
      </c>
      <c r="I241">
        <f t="shared" si="33"/>
        <v>0</v>
      </c>
      <c r="J241">
        <v>0.42</v>
      </c>
      <c r="K241">
        <f t="shared" si="34"/>
        <v>24440.639999999999</v>
      </c>
      <c r="L241" t="s">
        <v>37</v>
      </c>
      <c r="M241" t="s">
        <v>38</v>
      </c>
      <c r="N241">
        <f t="shared" si="35"/>
        <v>7269.6239616000012</v>
      </c>
      <c r="O241">
        <f t="shared" si="36"/>
        <v>3.9267325919317912E-2</v>
      </c>
      <c r="P241" t="s">
        <v>39</v>
      </c>
      <c r="Q241">
        <f t="shared" si="37"/>
        <v>0.57791448996425621</v>
      </c>
      <c r="R241">
        <f t="shared" si="38"/>
        <v>33630</v>
      </c>
      <c r="S241">
        <f t="shared" si="39"/>
        <v>33630</v>
      </c>
      <c r="T241">
        <v>33630</v>
      </c>
      <c r="U241">
        <f t="shared" si="40"/>
        <v>0</v>
      </c>
      <c r="V241">
        <v>1</v>
      </c>
      <c r="W241">
        <v>0.22500000000000001</v>
      </c>
      <c r="X241">
        <f t="shared" si="41"/>
        <v>7566.75</v>
      </c>
      <c r="Y241">
        <f t="shared" si="42"/>
        <v>7566.75</v>
      </c>
      <c r="Z241">
        <f t="shared" si="43"/>
        <v>0</v>
      </c>
      <c r="AB241" t="s">
        <v>40</v>
      </c>
    </row>
    <row r="242" spans="1:28" x14ac:dyDescent="0.25">
      <c r="A242" t="s">
        <v>106</v>
      </c>
      <c r="D242" t="s">
        <v>278</v>
      </c>
      <c r="E242" t="s">
        <v>36</v>
      </c>
      <c r="F242">
        <v>89900</v>
      </c>
      <c r="G242">
        <v>89900</v>
      </c>
      <c r="H242">
        <v>1</v>
      </c>
      <c r="I242">
        <f t="shared" si="33"/>
        <v>0</v>
      </c>
      <c r="J242">
        <v>0.42</v>
      </c>
      <c r="K242">
        <f t="shared" si="34"/>
        <v>37758</v>
      </c>
      <c r="L242" t="s">
        <v>37</v>
      </c>
      <c r="M242" t="s">
        <v>38</v>
      </c>
      <c r="N242">
        <f t="shared" si="35"/>
        <v>11230.739520000001</v>
      </c>
      <c r="O242">
        <f t="shared" si="36"/>
        <v>3.6587572540693475E-2</v>
      </c>
      <c r="P242" t="s">
        <v>39</v>
      </c>
      <c r="Q242">
        <f t="shared" si="37"/>
        <v>0.5763070077864294</v>
      </c>
      <c r="R242">
        <f t="shared" si="38"/>
        <v>51810</v>
      </c>
      <c r="S242">
        <f t="shared" si="39"/>
        <v>51810</v>
      </c>
      <c r="T242">
        <v>51810</v>
      </c>
      <c r="U242">
        <f t="shared" si="40"/>
        <v>0</v>
      </c>
      <c r="V242">
        <v>1</v>
      </c>
      <c r="W242">
        <v>0.22500000000000001</v>
      </c>
      <c r="X242">
        <f t="shared" si="41"/>
        <v>11657.25</v>
      </c>
      <c r="Y242">
        <f t="shared" si="42"/>
        <v>11657.25</v>
      </c>
      <c r="Z242">
        <f t="shared" si="43"/>
        <v>0</v>
      </c>
      <c r="AB242" t="s">
        <v>40</v>
      </c>
    </row>
    <row r="243" spans="1:28" x14ac:dyDescent="0.25">
      <c r="A243" t="s">
        <v>106</v>
      </c>
      <c r="D243" t="s">
        <v>279</v>
      </c>
      <c r="E243" t="s">
        <v>36</v>
      </c>
      <c r="F243">
        <v>58192</v>
      </c>
      <c r="G243">
        <v>58192</v>
      </c>
      <c r="H243">
        <v>1</v>
      </c>
      <c r="I243">
        <f t="shared" si="33"/>
        <v>0</v>
      </c>
      <c r="J243">
        <v>0.42</v>
      </c>
      <c r="K243">
        <f t="shared" si="34"/>
        <v>24440.639999999999</v>
      </c>
      <c r="L243" t="s">
        <v>37</v>
      </c>
      <c r="M243" t="s">
        <v>38</v>
      </c>
      <c r="N243">
        <f t="shared" si="35"/>
        <v>7269.6239616000012</v>
      </c>
      <c r="O243">
        <f t="shared" si="36"/>
        <v>3.9267325919317912E-2</v>
      </c>
      <c r="P243" t="s">
        <v>39</v>
      </c>
      <c r="Q243">
        <f t="shared" si="37"/>
        <v>0.57791448996425621</v>
      </c>
      <c r="R243">
        <f t="shared" si="38"/>
        <v>33630</v>
      </c>
      <c r="S243">
        <f t="shared" si="39"/>
        <v>33630</v>
      </c>
      <c r="T243">
        <v>33630</v>
      </c>
      <c r="U243">
        <f t="shared" si="40"/>
        <v>0</v>
      </c>
      <c r="V243">
        <v>1</v>
      </c>
      <c r="W243">
        <v>0.22500000000000001</v>
      </c>
      <c r="X243">
        <f t="shared" si="41"/>
        <v>7566.75</v>
      </c>
      <c r="Y243">
        <f t="shared" si="42"/>
        <v>7566.75</v>
      </c>
      <c r="Z243">
        <f t="shared" si="43"/>
        <v>0</v>
      </c>
      <c r="AB243" t="s">
        <v>40</v>
      </c>
    </row>
    <row r="244" spans="1:28" x14ac:dyDescent="0.25">
      <c r="A244" t="s">
        <v>106</v>
      </c>
      <c r="D244" t="s">
        <v>280</v>
      </c>
      <c r="E244" t="s">
        <v>36</v>
      </c>
      <c r="F244">
        <v>89900</v>
      </c>
      <c r="G244">
        <v>89900</v>
      </c>
      <c r="H244">
        <v>1</v>
      </c>
      <c r="I244">
        <f t="shared" si="33"/>
        <v>0</v>
      </c>
      <c r="J244">
        <v>0.42</v>
      </c>
      <c r="K244">
        <f t="shared" si="34"/>
        <v>37758</v>
      </c>
      <c r="L244" t="s">
        <v>37</v>
      </c>
      <c r="M244" t="s">
        <v>38</v>
      </c>
      <c r="N244">
        <f t="shared" si="35"/>
        <v>11230.739520000001</v>
      </c>
      <c r="O244">
        <f t="shared" si="36"/>
        <v>3.6587572540693475E-2</v>
      </c>
      <c r="P244" t="s">
        <v>39</v>
      </c>
      <c r="Q244">
        <f t="shared" si="37"/>
        <v>0.5763070077864294</v>
      </c>
      <c r="R244">
        <f t="shared" si="38"/>
        <v>51810</v>
      </c>
      <c r="S244">
        <f t="shared" si="39"/>
        <v>51810</v>
      </c>
      <c r="T244">
        <v>51810</v>
      </c>
      <c r="U244">
        <f t="shared" si="40"/>
        <v>0</v>
      </c>
      <c r="V244">
        <v>1</v>
      </c>
      <c r="W244">
        <v>0.22500000000000001</v>
      </c>
      <c r="X244">
        <f t="shared" si="41"/>
        <v>11657.25</v>
      </c>
      <c r="Y244">
        <f t="shared" si="42"/>
        <v>11657.25</v>
      </c>
      <c r="Z244">
        <f t="shared" si="43"/>
        <v>0</v>
      </c>
      <c r="AB244" t="s">
        <v>40</v>
      </c>
    </row>
    <row r="245" spans="1:28" x14ac:dyDescent="0.25">
      <c r="A245" t="s">
        <v>106</v>
      </c>
      <c r="D245" t="s">
        <v>281</v>
      </c>
      <c r="E245" t="s">
        <v>36</v>
      </c>
      <c r="F245">
        <v>61108</v>
      </c>
      <c r="G245">
        <v>61108</v>
      </c>
      <c r="H245">
        <v>1</v>
      </c>
      <c r="I245">
        <f t="shared" si="33"/>
        <v>0</v>
      </c>
      <c r="J245">
        <v>0.42</v>
      </c>
      <c r="K245">
        <f t="shared" si="34"/>
        <v>25665.360000000001</v>
      </c>
      <c r="L245" t="s">
        <v>37</v>
      </c>
      <c r="M245" t="s">
        <v>38</v>
      </c>
      <c r="N245">
        <f t="shared" si="35"/>
        <v>7633.9046784000011</v>
      </c>
      <c r="O245">
        <f t="shared" si="36"/>
        <v>3.4752055836889381E-2</v>
      </c>
      <c r="P245" t="s">
        <v>39</v>
      </c>
      <c r="Q245">
        <f t="shared" si="37"/>
        <v>0.57521110165608436</v>
      </c>
      <c r="R245">
        <f t="shared" si="38"/>
        <v>35150</v>
      </c>
      <c r="S245">
        <f t="shared" si="39"/>
        <v>35150</v>
      </c>
      <c r="T245">
        <v>35150</v>
      </c>
      <c r="U245">
        <f t="shared" si="40"/>
        <v>0</v>
      </c>
      <c r="V245">
        <v>1</v>
      </c>
      <c r="W245">
        <v>0.22500000000000001</v>
      </c>
      <c r="X245">
        <f t="shared" si="41"/>
        <v>7908.75</v>
      </c>
      <c r="Y245">
        <f t="shared" si="42"/>
        <v>7908.75</v>
      </c>
      <c r="Z245">
        <f t="shared" si="43"/>
        <v>0</v>
      </c>
      <c r="AB245" t="s">
        <v>40</v>
      </c>
    </row>
    <row r="246" spans="1:28" x14ac:dyDescent="0.25">
      <c r="A246" t="s">
        <v>106</v>
      </c>
      <c r="D246" t="s">
        <v>282</v>
      </c>
      <c r="E246" t="s">
        <v>36</v>
      </c>
      <c r="F246">
        <v>92400</v>
      </c>
      <c r="G246">
        <v>92400</v>
      </c>
      <c r="H246">
        <v>1</v>
      </c>
      <c r="I246">
        <f t="shared" si="33"/>
        <v>0</v>
      </c>
      <c r="J246">
        <v>0.42</v>
      </c>
      <c r="K246">
        <f t="shared" si="34"/>
        <v>38808</v>
      </c>
      <c r="L246" t="s">
        <v>37</v>
      </c>
      <c r="M246" t="s">
        <v>38</v>
      </c>
      <c r="N246">
        <f t="shared" si="35"/>
        <v>11543.051520000003</v>
      </c>
      <c r="O246">
        <f t="shared" si="36"/>
        <v>3.801891618226131E-2</v>
      </c>
      <c r="P246" t="s">
        <v>39</v>
      </c>
      <c r="Q246">
        <f t="shared" si="37"/>
        <v>0.57716450216450221</v>
      </c>
      <c r="R246">
        <f t="shared" si="38"/>
        <v>53330.000000000007</v>
      </c>
      <c r="S246">
        <f t="shared" si="39"/>
        <v>53330.000000000007</v>
      </c>
      <c r="T246">
        <v>53330</v>
      </c>
      <c r="U246">
        <f t="shared" si="40"/>
        <v>-1.3643273231170869E-16</v>
      </c>
      <c r="V246">
        <v>1</v>
      </c>
      <c r="W246">
        <v>0.22500000000000001</v>
      </c>
      <c r="X246">
        <f t="shared" si="41"/>
        <v>11999.250000000002</v>
      </c>
      <c r="Y246">
        <f t="shared" si="42"/>
        <v>11999.250000000002</v>
      </c>
      <c r="Z246">
        <f t="shared" si="43"/>
        <v>0</v>
      </c>
      <c r="AB246" t="s">
        <v>40</v>
      </c>
    </row>
    <row r="247" spans="1:28" x14ac:dyDescent="0.25">
      <c r="A247" t="s">
        <v>106</v>
      </c>
      <c r="D247" t="s">
        <v>283</v>
      </c>
      <c r="E247" t="s">
        <v>36</v>
      </c>
      <c r="F247">
        <v>61108</v>
      </c>
      <c r="G247">
        <v>61108</v>
      </c>
      <c r="H247">
        <v>1</v>
      </c>
      <c r="I247">
        <f t="shared" si="33"/>
        <v>0</v>
      </c>
      <c r="J247">
        <v>0.42</v>
      </c>
      <c r="K247">
        <f t="shared" si="34"/>
        <v>25665.360000000001</v>
      </c>
      <c r="L247" t="s">
        <v>37</v>
      </c>
      <c r="M247" t="s">
        <v>38</v>
      </c>
      <c r="N247">
        <f t="shared" si="35"/>
        <v>7633.9046784000011</v>
      </c>
      <c r="O247">
        <f t="shared" si="36"/>
        <v>3.4752055836889381E-2</v>
      </c>
      <c r="P247" t="s">
        <v>39</v>
      </c>
      <c r="Q247">
        <f t="shared" si="37"/>
        <v>0.57521110165608436</v>
      </c>
      <c r="R247">
        <f t="shared" si="38"/>
        <v>35150</v>
      </c>
      <c r="S247">
        <f t="shared" si="39"/>
        <v>35150</v>
      </c>
      <c r="T247">
        <v>35150</v>
      </c>
      <c r="U247">
        <f t="shared" si="40"/>
        <v>0</v>
      </c>
      <c r="V247">
        <v>1</v>
      </c>
      <c r="W247">
        <v>0.22500000000000001</v>
      </c>
      <c r="X247">
        <f t="shared" si="41"/>
        <v>7908.75</v>
      </c>
      <c r="Y247">
        <f t="shared" si="42"/>
        <v>7908.75</v>
      </c>
      <c r="Z247">
        <f t="shared" si="43"/>
        <v>0</v>
      </c>
      <c r="AB247" t="s">
        <v>40</v>
      </c>
    </row>
    <row r="248" spans="1:28" x14ac:dyDescent="0.25">
      <c r="A248" t="s">
        <v>106</v>
      </c>
      <c r="D248" t="s">
        <v>284</v>
      </c>
      <c r="E248" t="s">
        <v>36</v>
      </c>
      <c r="F248">
        <v>92400</v>
      </c>
      <c r="G248">
        <v>92400</v>
      </c>
      <c r="H248">
        <v>1</v>
      </c>
      <c r="I248">
        <f t="shared" si="33"/>
        <v>0</v>
      </c>
      <c r="J248">
        <v>0.42</v>
      </c>
      <c r="K248">
        <f t="shared" si="34"/>
        <v>38808</v>
      </c>
      <c r="L248" t="s">
        <v>37</v>
      </c>
      <c r="M248" t="s">
        <v>38</v>
      </c>
      <c r="N248">
        <f t="shared" si="35"/>
        <v>11543.051520000003</v>
      </c>
      <c r="O248">
        <f t="shared" si="36"/>
        <v>3.801891618226131E-2</v>
      </c>
      <c r="P248" t="s">
        <v>39</v>
      </c>
      <c r="Q248">
        <f t="shared" si="37"/>
        <v>0.57716450216450221</v>
      </c>
      <c r="R248">
        <f t="shared" si="38"/>
        <v>53330.000000000007</v>
      </c>
      <c r="S248">
        <f t="shared" si="39"/>
        <v>53330.000000000007</v>
      </c>
      <c r="T248">
        <v>53330</v>
      </c>
      <c r="U248">
        <f t="shared" si="40"/>
        <v>-1.3643273231170869E-16</v>
      </c>
      <c r="V248">
        <v>1</v>
      </c>
      <c r="W248">
        <v>0.22500000000000001</v>
      </c>
      <c r="X248">
        <f t="shared" si="41"/>
        <v>11999.250000000002</v>
      </c>
      <c r="Y248">
        <f t="shared" si="42"/>
        <v>11999.250000000002</v>
      </c>
      <c r="Z248">
        <f t="shared" si="43"/>
        <v>0</v>
      </c>
      <c r="AB248" t="s">
        <v>40</v>
      </c>
    </row>
    <row r="249" spans="1:28" x14ac:dyDescent="0.25">
      <c r="A249" t="s">
        <v>106</v>
      </c>
      <c r="D249" t="s">
        <v>285</v>
      </c>
      <c r="E249" t="s">
        <v>36</v>
      </c>
      <c r="F249">
        <v>68192</v>
      </c>
      <c r="G249">
        <v>68192</v>
      </c>
      <c r="H249">
        <v>1</v>
      </c>
      <c r="I249">
        <f t="shared" si="33"/>
        <v>0</v>
      </c>
      <c r="J249">
        <v>0.42</v>
      </c>
      <c r="K249">
        <f t="shared" si="34"/>
        <v>28640.639999999999</v>
      </c>
      <c r="L249" t="s">
        <v>37</v>
      </c>
      <c r="M249" t="s">
        <v>38</v>
      </c>
      <c r="N249">
        <f t="shared" si="35"/>
        <v>8518.8719616000017</v>
      </c>
      <c r="O249">
        <f t="shared" si="36"/>
        <v>3.9531883240317756E-2</v>
      </c>
      <c r="P249" t="s">
        <v>39</v>
      </c>
      <c r="Q249">
        <f t="shared" si="37"/>
        <v>0.57807367433129986</v>
      </c>
      <c r="R249">
        <f t="shared" si="38"/>
        <v>39420</v>
      </c>
      <c r="S249">
        <f t="shared" si="39"/>
        <v>39420</v>
      </c>
      <c r="T249">
        <v>39420</v>
      </c>
      <c r="U249">
        <f t="shared" si="40"/>
        <v>0</v>
      </c>
      <c r="V249">
        <v>1</v>
      </c>
      <c r="W249">
        <v>0.22500000000000001</v>
      </c>
      <c r="X249">
        <f t="shared" si="41"/>
        <v>8869.5</v>
      </c>
      <c r="Y249">
        <f t="shared" si="42"/>
        <v>8869.5</v>
      </c>
      <c r="Z249">
        <f t="shared" si="43"/>
        <v>0</v>
      </c>
      <c r="AB249" t="s">
        <v>40</v>
      </c>
    </row>
    <row r="250" spans="1:28" x14ac:dyDescent="0.25">
      <c r="A250" t="s">
        <v>106</v>
      </c>
      <c r="D250" t="s">
        <v>286</v>
      </c>
      <c r="E250" t="s">
        <v>36</v>
      </c>
      <c r="F250">
        <v>99692</v>
      </c>
      <c r="G250">
        <v>99692</v>
      </c>
      <c r="H250">
        <v>1</v>
      </c>
      <c r="I250">
        <f t="shared" si="33"/>
        <v>0</v>
      </c>
      <c r="J250">
        <v>0.42</v>
      </c>
      <c r="K250">
        <f t="shared" si="34"/>
        <v>41870.639999999999</v>
      </c>
      <c r="L250" t="s">
        <v>37</v>
      </c>
      <c r="M250" t="s">
        <v>38</v>
      </c>
      <c r="N250">
        <f t="shared" si="35"/>
        <v>12454.003161600001</v>
      </c>
      <c r="O250">
        <f t="shared" si="36"/>
        <v>3.9042965925925946E-2</v>
      </c>
      <c r="P250" t="s">
        <v>39</v>
      </c>
      <c r="Q250">
        <f t="shared" si="37"/>
        <v>0.57777956104802797</v>
      </c>
      <c r="R250">
        <f t="shared" si="38"/>
        <v>57600.000000000007</v>
      </c>
      <c r="S250">
        <f t="shared" si="39"/>
        <v>57600.000000000007</v>
      </c>
      <c r="T250">
        <v>57600</v>
      </c>
      <c r="U250">
        <f t="shared" si="40"/>
        <v>-1.2631870857957334E-16</v>
      </c>
      <c r="V250">
        <v>1</v>
      </c>
      <c r="W250">
        <v>0.22500000000000001</v>
      </c>
      <c r="X250">
        <f t="shared" si="41"/>
        <v>12960.000000000002</v>
      </c>
      <c r="Y250">
        <f t="shared" si="42"/>
        <v>12960.000000000002</v>
      </c>
      <c r="Z250">
        <f t="shared" si="43"/>
        <v>0</v>
      </c>
      <c r="AB250" t="s">
        <v>40</v>
      </c>
    </row>
    <row r="251" spans="1:28" x14ac:dyDescent="0.25">
      <c r="A251" t="s">
        <v>106</v>
      </c>
      <c r="D251" t="s">
        <v>287</v>
      </c>
      <c r="E251" t="s">
        <v>36</v>
      </c>
      <c r="F251">
        <v>75692</v>
      </c>
      <c r="G251">
        <v>75692</v>
      </c>
      <c r="H251">
        <v>1</v>
      </c>
      <c r="I251">
        <f t="shared" si="33"/>
        <v>0</v>
      </c>
      <c r="J251">
        <v>0.42</v>
      </c>
      <c r="K251">
        <f t="shared" si="34"/>
        <v>31790.639999999999</v>
      </c>
      <c r="L251" t="s">
        <v>37</v>
      </c>
      <c r="M251" t="s">
        <v>38</v>
      </c>
      <c r="N251">
        <f t="shared" si="35"/>
        <v>9455.8079616000014</v>
      </c>
      <c r="O251">
        <f t="shared" si="36"/>
        <v>3.8310911609458292E-2</v>
      </c>
      <c r="P251" t="s">
        <v>39</v>
      </c>
      <c r="Q251">
        <f t="shared" si="37"/>
        <v>0.57733974528351739</v>
      </c>
      <c r="R251">
        <f t="shared" si="38"/>
        <v>43700</v>
      </c>
      <c r="S251">
        <f t="shared" si="39"/>
        <v>43700</v>
      </c>
      <c r="T251">
        <v>43700</v>
      </c>
      <c r="U251">
        <f t="shared" si="40"/>
        <v>0</v>
      </c>
      <c r="V251">
        <v>1</v>
      </c>
      <c r="W251">
        <v>0.22500000000000001</v>
      </c>
      <c r="X251">
        <f t="shared" si="41"/>
        <v>9832.5</v>
      </c>
      <c r="Y251">
        <f t="shared" si="42"/>
        <v>9832.5</v>
      </c>
      <c r="Z251">
        <f t="shared" si="43"/>
        <v>0</v>
      </c>
      <c r="AB251" t="s">
        <v>40</v>
      </c>
    </row>
    <row r="252" spans="1:28" x14ac:dyDescent="0.25">
      <c r="A252" t="s">
        <v>106</v>
      </c>
      <c r="D252" t="s">
        <v>288</v>
      </c>
      <c r="E252" t="s">
        <v>36</v>
      </c>
      <c r="F252">
        <v>107192</v>
      </c>
      <c r="G252">
        <v>107192</v>
      </c>
      <c r="H252">
        <v>1</v>
      </c>
      <c r="I252">
        <f t="shared" si="33"/>
        <v>0</v>
      </c>
      <c r="J252">
        <v>0.42</v>
      </c>
      <c r="K252">
        <f t="shared" si="34"/>
        <v>45020.639999999999</v>
      </c>
      <c r="L252" t="s">
        <v>37</v>
      </c>
      <c r="M252" t="s">
        <v>38</v>
      </c>
      <c r="N252">
        <f t="shared" si="35"/>
        <v>13390.939161600001</v>
      </c>
      <c r="O252">
        <f t="shared" si="36"/>
        <v>3.8214525490196119E-2</v>
      </c>
      <c r="P252" t="s">
        <v>39</v>
      </c>
      <c r="Q252">
        <f t="shared" si="37"/>
        <v>0.57728188670796332</v>
      </c>
      <c r="R252">
        <f t="shared" si="38"/>
        <v>61880.000000000007</v>
      </c>
      <c r="S252">
        <f t="shared" si="39"/>
        <v>61880.000000000007</v>
      </c>
      <c r="T252">
        <v>61880</v>
      </c>
      <c r="U252">
        <f t="shared" si="40"/>
        <v>-1.1758173261447034E-16</v>
      </c>
      <c r="V252">
        <v>1</v>
      </c>
      <c r="W252">
        <v>0.22500000000000001</v>
      </c>
      <c r="X252">
        <f t="shared" si="41"/>
        <v>13923.000000000002</v>
      </c>
      <c r="Y252">
        <f t="shared" si="42"/>
        <v>13923.000000000002</v>
      </c>
      <c r="Z252">
        <f t="shared" si="43"/>
        <v>0</v>
      </c>
      <c r="AB252" t="s">
        <v>40</v>
      </c>
    </row>
    <row r="253" spans="1:28" x14ac:dyDescent="0.25">
      <c r="A253" t="s">
        <v>106</v>
      </c>
      <c r="D253" t="s">
        <v>289</v>
      </c>
      <c r="E253" t="s">
        <v>36</v>
      </c>
      <c r="F253">
        <v>75692</v>
      </c>
      <c r="G253">
        <v>75692</v>
      </c>
      <c r="H253">
        <v>1</v>
      </c>
      <c r="I253">
        <f t="shared" si="33"/>
        <v>0</v>
      </c>
      <c r="J253">
        <v>0.42</v>
      </c>
      <c r="K253">
        <f t="shared" si="34"/>
        <v>31790.639999999999</v>
      </c>
      <c r="L253" t="s">
        <v>37</v>
      </c>
      <c r="M253" t="s">
        <v>38</v>
      </c>
      <c r="N253">
        <f t="shared" si="35"/>
        <v>9455.8079616000014</v>
      </c>
      <c r="O253">
        <f t="shared" si="36"/>
        <v>3.8310911609458292E-2</v>
      </c>
      <c r="P253" t="s">
        <v>39</v>
      </c>
      <c r="Q253">
        <f t="shared" si="37"/>
        <v>0.57733974528351739</v>
      </c>
      <c r="R253">
        <f t="shared" si="38"/>
        <v>43700</v>
      </c>
      <c r="S253">
        <f t="shared" si="39"/>
        <v>43700</v>
      </c>
      <c r="T253">
        <v>43700</v>
      </c>
      <c r="U253">
        <f t="shared" si="40"/>
        <v>0</v>
      </c>
      <c r="V253">
        <v>1</v>
      </c>
      <c r="W253">
        <v>0.22500000000000001</v>
      </c>
      <c r="X253">
        <f t="shared" si="41"/>
        <v>9832.5</v>
      </c>
      <c r="Y253">
        <f t="shared" si="42"/>
        <v>9832.5</v>
      </c>
      <c r="Z253">
        <f t="shared" si="43"/>
        <v>0</v>
      </c>
      <c r="AB253" t="s">
        <v>40</v>
      </c>
    </row>
    <row r="254" spans="1:28" x14ac:dyDescent="0.25">
      <c r="A254" t="s">
        <v>106</v>
      </c>
      <c r="D254" t="s">
        <v>290</v>
      </c>
      <c r="E254" t="s">
        <v>36</v>
      </c>
      <c r="F254">
        <v>107192</v>
      </c>
      <c r="G254">
        <v>107192</v>
      </c>
      <c r="H254">
        <v>1</v>
      </c>
      <c r="I254">
        <f t="shared" si="33"/>
        <v>0</v>
      </c>
      <c r="J254">
        <v>0.42</v>
      </c>
      <c r="K254">
        <f t="shared" si="34"/>
        <v>45020.639999999999</v>
      </c>
      <c r="L254" t="s">
        <v>37</v>
      </c>
      <c r="M254" t="s">
        <v>38</v>
      </c>
      <c r="N254">
        <f t="shared" si="35"/>
        <v>13390.939161600001</v>
      </c>
      <c r="O254">
        <f t="shared" si="36"/>
        <v>3.8214525490196119E-2</v>
      </c>
      <c r="P254" t="s">
        <v>39</v>
      </c>
      <c r="Q254">
        <f t="shared" si="37"/>
        <v>0.57728188670796332</v>
      </c>
      <c r="R254">
        <f t="shared" si="38"/>
        <v>61880.000000000007</v>
      </c>
      <c r="S254">
        <f t="shared" si="39"/>
        <v>61880.000000000007</v>
      </c>
      <c r="T254">
        <v>61880</v>
      </c>
      <c r="U254">
        <f t="shared" si="40"/>
        <v>-1.1758173261447034E-16</v>
      </c>
      <c r="V254">
        <v>1</v>
      </c>
      <c r="W254">
        <v>0.22500000000000001</v>
      </c>
      <c r="X254">
        <f t="shared" si="41"/>
        <v>13923.000000000002</v>
      </c>
      <c r="Y254">
        <f t="shared" si="42"/>
        <v>13923.000000000002</v>
      </c>
      <c r="Z254">
        <f t="shared" si="43"/>
        <v>0</v>
      </c>
      <c r="AB254" t="s">
        <v>40</v>
      </c>
    </row>
    <row r="255" spans="1:28" x14ac:dyDescent="0.25">
      <c r="A255" t="s">
        <v>106</v>
      </c>
      <c r="D255" t="s">
        <v>291</v>
      </c>
      <c r="E255" t="s">
        <v>36</v>
      </c>
      <c r="F255">
        <v>81113</v>
      </c>
      <c r="G255">
        <v>81113</v>
      </c>
      <c r="H255">
        <v>1</v>
      </c>
      <c r="I255">
        <f t="shared" si="33"/>
        <v>0</v>
      </c>
      <c r="J255">
        <v>0.42</v>
      </c>
      <c r="K255">
        <f t="shared" si="34"/>
        <v>34067.46</v>
      </c>
      <c r="L255" t="s">
        <v>37</v>
      </c>
      <c r="M255" t="s">
        <v>38</v>
      </c>
      <c r="N255">
        <f t="shared" si="35"/>
        <v>10133.025302400001</v>
      </c>
      <c r="O255">
        <f t="shared" si="36"/>
        <v>3.954642758228466E-2</v>
      </c>
      <c r="P255" t="s">
        <v>39</v>
      </c>
      <c r="Q255">
        <f t="shared" si="37"/>
        <v>0.57808242821742506</v>
      </c>
      <c r="R255">
        <f t="shared" si="38"/>
        <v>46890</v>
      </c>
      <c r="S255">
        <f t="shared" si="39"/>
        <v>46890</v>
      </c>
      <c r="T255">
        <v>46890</v>
      </c>
      <c r="U255">
        <f t="shared" si="40"/>
        <v>0</v>
      </c>
      <c r="V255">
        <v>1</v>
      </c>
      <c r="W255">
        <v>0.22500000000000001</v>
      </c>
      <c r="X255">
        <f t="shared" si="41"/>
        <v>10550.25</v>
      </c>
      <c r="Y255">
        <f t="shared" si="42"/>
        <v>10550.25</v>
      </c>
      <c r="Z255">
        <f t="shared" si="43"/>
        <v>0</v>
      </c>
      <c r="AB255" t="s">
        <v>40</v>
      </c>
    </row>
    <row r="256" spans="1:28" x14ac:dyDescent="0.25">
      <c r="A256" t="s">
        <v>106</v>
      </c>
      <c r="D256" t="s">
        <v>292</v>
      </c>
      <c r="E256" t="s">
        <v>36</v>
      </c>
      <c r="F256">
        <v>114697</v>
      </c>
      <c r="G256">
        <v>114697</v>
      </c>
      <c r="H256">
        <v>1</v>
      </c>
      <c r="I256">
        <f t="shared" si="33"/>
        <v>0</v>
      </c>
      <c r="J256">
        <v>0.42</v>
      </c>
      <c r="K256">
        <f t="shared" si="34"/>
        <v>48172.74</v>
      </c>
      <c r="L256" t="s">
        <v>37</v>
      </c>
      <c r="M256" t="s">
        <v>38</v>
      </c>
      <c r="N256">
        <f t="shared" si="35"/>
        <v>14328.499785600001</v>
      </c>
      <c r="O256">
        <f t="shared" si="36"/>
        <v>3.6285997740112937E-2</v>
      </c>
      <c r="P256" t="s">
        <v>39</v>
      </c>
      <c r="Q256">
        <f t="shared" si="37"/>
        <v>0.57612666416732783</v>
      </c>
      <c r="R256">
        <f t="shared" si="38"/>
        <v>66080</v>
      </c>
      <c r="S256">
        <f t="shared" si="39"/>
        <v>66080</v>
      </c>
      <c r="T256">
        <v>66080</v>
      </c>
      <c r="U256">
        <f t="shared" si="40"/>
        <v>0</v>
      </c>
      <c r="V256">
        <v>1</v>
      </c>
      <c r="W256">
        <v>0.22500000000000001</v>
      </c>
      <c r="X256">
        <f t="shared" si="41"/>
        <v>14868</v>
      </c>
      <c r="Y256">
        <f t="shared" si="42"/>
        <v>14868</v>
      </c>
      <c r="Z256">
        <f t="shared" si="43"/>
        <v>0</v>
      </c>
      <c r="AB256" t="s">
        <v>40</v>
      </c>
    </row>
    <row r="257" spans="1:28" x14ac:dyDescent="0.25">
      <c r="A257" t="s">
        <v>106</v>
      </c>
      <c r="D257" t="s">
        <v>293</v>
      </c>
      <c r="E257" t="s">
        <v>36</v>
      </c>
      <c r="F257">
        <v>81113</v>
      </c>
      <c r="G257">
        <v>81113</v>
      </c>
      <c r="H257">
        <v>1</v>
      </c>
      <c r="I257">
        <f t="shared" si="33"/>
        <v>0</v>
      </c>
      <c r="J257">
        <v>0.42</v>
      </c>
      <c r="K257">
        <f t="shared" si="34"/>
        <v>34067.46</v>
      </c>
      <c r="L257" t="s">
        <v>37</v>
      </c>
      <c r="M257" t="s">
        <v>38</v>
      </c>
      <c r="N257">
        <f t="shared" si="35"/>
        <v>10133.025302400001</v>
      </c>
      <c r="O257">
        <f t="shared" si="36"/>
        <v>3.954642758228466E-2</v>
      </c>
      <c r="P257" t="s">
        <v>39</v>
      </c>
      <c r="Q257">
        <f t="shared" si="37"/>
        <v>0.57808242821742506</v>
      </c>
      <c r="R257">
        <f t="shared" si="38"/>
        <v>46890</v>
      </c>
      <c r="S257">
        <f t="shared" si="39"/>
        <v>46890</v>
      </c>
      <c r="T257">
        <v>46890</v>
      </c>
      <c r="U257">
        <f t="shared" si="40"/>
        <v>0</v>
      </c>
      <c r="V257">
        <v>1</v>
      </c>
      <c r="W257">
        <v>0.22500000000000001</v>
      </c>
      <c r="X257">
        <f t="shared" si="41"/>
        <v>10550.25</v>
      </c>
      <c r="Y257">
        <f t="shared" si="42"/>
        <v>10550.25</v>
      </c>
      <c r="Z257">
        <f t="shared" si="43"/>
        <v>0</v>
      </c>
      <c r="AB257" t="s">
        <v>40</v>
      </c>
    </row>
    <row r="258" spans="1:28" x14ac:dyDescent="0.25">
      <c r="A258" t="s">
        <v>106</v>
      </c>
      <c r="D258" t="s">
        <v>294</v>
      </c>
      <c r="E258" t="s">
        <v>36</v>
      </c>
      <c r="F258">
        <v>114697</v>
      </c>
      <c r="G258">
        <v>114697</v>
      </c>
      <c r="H258">
        <v>1</v>
      </c>
      <c r="I258">
        <f t="shared" si="33"/>
        <v>0</v>
      </c>
      <c r="J258">
        <v>0.42</v>
      </c>
      <c r="K258">
        <f t="shared" si="34"/>
        <v>48172.74</v>
      </c>
      <c r="L258" t="s">
        <v>37</v>
      </c>
      <c r="M258" t="s">
        <v>38</v>
      </c>
      <c r="N258">
        <f t="shared" si="35"/>
        <v>14328.499785600001</v>
      </c>
      <c r="O258">
        <f t="shared" si="36"/>
        <v>3.6285997740112937E-2</v>
      </c>
      <c r="P258" t="s">
        <v>39</v>
      </c>
      <c r="Q258">
        <f t="shared" si="37"/>
        <v>0.57612666416732783</v>
      </c>
      <c r="R258">
        <f t="shared" si="38"/>
        <v>66080</v>
      </c>
      <c r="S258">
        <f t="shared" si="39"/>
        <v>66080</v>
      </c>
      <c r="T258">
        <v>66080</v>
      </c>
      <c r="U258">
        <f t="shared" si="40"/>
        <v>0</v>
      </c>
      <c r="V258">
        <v>1</v>
      </c>
      <c r="W258">
        <v>0.22500000000000001</v>
      </c>
      <c r="X258">
        <f t="shared" si="41"/>
        <v>14868</v>
      </c>
      <c r="Y258">
        <f t="shared" si="42"/>
        <v>14868</v>
      </c>
      <c r="Z258">
        <f t="shared" si="43"/>
        <v>0</v>
      </c>
      <c r="AB258" t="s">
        <v>40</v>
      </c>
    </row>
    <row r="259" spans="1:28" x14ac:dyDescent="0.25">
      <c r="A259" t="s">
        <v>106</v>
      </c>
      <c r="D259" t="s">
        <v>295</v>
      </c>
      <c r="E259" t="s">
        <v>36</v>
      </c>
      <c r="F259">
        <v>77363</v>
      </c>
      <c r="G259">
        <v>77363</v>
      </c>
      <c r="H259">
        <v>1</v>
      </c>
      <c r="I259">
        <f t="shared" si="33"/>
        <v>0</v>
      </c>
      <c r="J259">
        <v>0.42</v>
      </c>
      <c r="K259">
        <f t="shared" si="34"/>
        <v>32492.46</v>
      </c>
      <c r="L259" t="s">
        <v>37</v>
      </c>
      <c r="M259" t="s">
        <v>38</v>
      </c>
      <c r="N259">
        <f t="shared" si="35"/>
        <v>9664.5573024000023</v>
      </c>
      <c r="O259">
        <f t="shared" si="36"/>
        <v>3.9284544605979216E-2</v>
      </c>
      <c r="P259" t="s">
        <v>39</v>
      </c>
      <c r="Q259">
        <f t="shared" si="37"/>
        <v>0.57792484779545783</v>
      </c>
      <c r="R259">
        <f t="shared" si="38"/>
        <v>44710.000000000007</v>
      </c>
      <c r="S259">
        <f t="shared" si="39"/>
        <v>44710.000000000007</v>
      </c>
      <c r="T259">
        <v>44710</v>
      </c>
      <c r="U259">
        <f t="shared" si="40"/>
        <v>-1.6273669456907683E-16</v>
      </c>
      <c r="V259">
        <v>1</v>
      </c>
      <c r="W259">
        <v>0.22500000000000001</v>
      </c>
      <c r="X259">
        <f t="shared" si="41"/>
        <v>10059.750000000002</v>
      </c>
      <c r="Y259">
        <f t="shared" si="42"/>
        <v>10059.750000000002</v>
      </c>
      <c r="Z259">
        <f t="shared" si="43"/>
        <v>0</v>
      </c>
      <c r="AB259" t="s">
        <v>40</v>
      </c>
    </row>
    <row r="260" spans="1:28" x14ac:dyDescent="0.25">
      <c r="A260" t="s">
        <v>106</v>
      </c>
      <c r="D260" t="s">
        <v>296</v>
      </c>
      <c r="E260" t="s">
        <v>36</v>
      </c>
      <c r="F260">
        <v>110738</v>
      </c>
      <c r="G260">
        <v>110738</v>
      </c>
      <c r="H260">
        <v>1</v>
      </c>
      <c r="I260">
        <f t="shared" si="33"/>
        <v>0</v>
      </c>
      <c r="J260">
        <v>0.42</v>
      </c>
      <c r="K260">
        <f t="shared" si="34"/>
        <v>46509.96</v>
      </c>
      <c r="L260" t="s">
        <v>37</v>
      </c>
      <c r="M260" t="s">
        <v>38</v>
      </c>
      <c r="N260">
        <f t="shared" si="35"/>
        <v>13833.922502400001</v>
      </c>
      <c r="O260">
        <f t="shared" si="36"/>
        <v>3.7958065863453891E-2</v>
      </c>
      <c r="P260" t="s">
        <v>39</v>
      </c>
      <c r="Q260">
        <f t="shared" si="37"/>
        <v>0.57712799580992979</v>
      </c>
      <c r="R260">
        <f t="shared" si="38"/>
        <v>63910.000000000007</v>
      </c>
      <c r="S260">
        <f t="shared" si="39"/>
        <v>63910.000000000007</v>
      </c>
      <c r="T260">
        <v>63910</v>
      </c>
      <c r="U260">
        <f t="shared" si="40"/>
        <v>-1.1384693497392309E-16</v>
      </c>
      <c r="V260">
        <v>1</v>
      </c>
      <c r="W260">
        <v>0.22500000000000001</v>
      </c>
      <c r="X260">
        <f t="shared" si="41"/>
        <v>14379.750000000002</v>
      </c>
      <c r="Y260">
        <f t="shared" si="42"/>
        <v>14379.750000000002</v>
      </c>
      <c r="Z260">
        <f t="shared" si="43"/>
        <v>0</v>
      </c>
      <c r="AB260" t="s">
        <v>40</v>
      </c>
    </row>
    <row r="261" spans="1:28" x14ac:dyDescent="0.25">
      <c r="A261" t="s">
        <v>106</v>
      </c>
      <c r="D261" t="s">
        <v>297</v>
      </c>
      <c r="E261" t="s">
        <v>36</v>
      </c>
      <c r="F261">
        <v>77363</v>
      </c>
      <c r="G261">
        <v>77363</v>
      </c>
      <c r="H261">
        <v>1</v>
      </c>
      <c r="I261">
        <f t="shared" ref="I261:I289" si="44">(G261-F261)/F261</f>
        <v>0</v>
      </c>
      <c r="J261">
        <v>0.42</v>
      </c>
      <c r="K261">
        <f t="shared" ref="K261:K289" si="45">F261*H261*J261</f>
        <v>32492.46</v>
      </c>
      <c r="L261" t="s">
        <v>37</v>
      </c>
      <c r="M261" t="s">
        <v>38</v>
      </c>
      <c r="N261">
        <f t="shared" ref="N261:N289" si="46">K261*$N$2*$O$2</f>
        <v>9664.5573024000023</v>
      </c>
      <c r="O261">
        <f t="shared" ref="O261:O289" si="47">(X261-N261)/X261</f>
        <v>3.9284544605979216E-2</v>
      </c>
      <c r="P261" t="s">
        <v>39</v>
      </c>
      <c r="Q261">
        <f t="shared" ref="Q261:Q289" si="48">T261/F261</f>
        <v>0.57792484779545783</v>
      </c>
      <c r="R261">
        <f t="shared" ref="R261:R289" si="49">F261*Q261</f>
        <v>44710.000000000007</v>
      </c>
      <c r="S261">
        <f t="shared" ref="S261:S289" si="50">G261*Q261</f>
        <v>44710.000000000007</v>
      </c>
      <c r="T261">
        <v>44710</v>
      </c>
      <c r="U261">
        <f t="shared" ref="U261:U289" si="51">(T261-R261)/R261</f>
        <v>-1.6273669456907683E-16</v>
      </c>
      <c r="V261">
        <v>1</v>
      </c>
      <c r="W261">
        <v>0.22500000000000001</v>
      </c>
      <c r="X261">
        <f t="shared" ref="X261:X289" si="52">R261*V261*W261</f>
        <v>10059.750000000002</v>
      </c>
      <c r="Y261">
        <f t="shared" ref="Y261:Y289" si="53">S261*W261*V261</f>
        <v>10059.750000000002</v>
      </c>
      <c r="Z261">
        <f t="shared" ref="Z261:Z289" si="54">(Y261-X261)/X261</f>
        <v>0</v>
      </c>
      <c r="AB261" t="s">
        <v>40</v>
      </c>
    </row>
    <row r="262" spans="1:28" x14ac:dyDescent="0.25">
      <c r="A262" t="s">
        <v>106</v>
      </c>
      <c r="D262" t="s">
        <v>298</v>
      </c>
      <c r="E262" t="s">
        <v>36</v>
      </c>
      <c r="F262">
        <v>110738</v>
      </c>
      <c r="G262">
        <v>110738</v>
      </c>
      <c r="H262">
        <v>1</v>
      </c>
      <c r="I262">
        <f t="shared" si="44"/>
        <v>0</v>
      </c>
      <c r="J262">
        <v>0.42</v>
      </c>
      <c r="K262">
        <f t="shared" si="45"/>
        <v>46509.96</v>
      </c>
      <c r="L262" t="s">
        <v>37</v>
      </c>
      <c r="M262" t="s">
        <v>38</v>
      </c>
      <c r="N262">
        <f t="shared" si="46"/>
        <v>13833.922502400001</v>
      </c>
      <c r="O262">
        <f t="shared" si="47"/>
        <v>3.7958065863453891E-2</v>
      </c>
      <c r="P262" t="s">
        <v>39</v>
      </c>
      <c r="Q262">
        <f t="shared" si="48"/>
        <v>0.57712799580992979</v>
      </c>
      <c r="R262">
        <f t="shared" si="49"/>
        <v>63910.000000000007</v>
      </c>
      <c r="S262">
        <f t="shared" si="50"/>
        <v>63910.000000000007</v>
      </c>
      <c r="T262">
        <v>63910</v>
      </c>
      <c r="U262">
        <f t="shared" si="51"/>
        <v>-1.1384693497392309E-16</v>
      </c>
      <c r="V262">
        <v>1</v>
      </c>
      <c r="W262">
        <v>0.22500000000000001</v>
      </c>
      <c r="X262">
        <f t="shared" si="52"/>
        <v>14379.750000000002</v>
      </c>
      <c r="Y262">
        <f t="shared" si="53"/>
        <v>14379.750000000002</v>
      </c>
      <c r="Z262">
        <f t="shared" si="54"/>
        <v>0</v>
      </c>
      <c r="AB262" t="s">
        <v>40</v>
      </c>
    </row>
    <row r="263" spans="1:28" x14ac:dyDescent="0.25">
      <c r="A263" t="s">
        <v>106</v>
      </c>
      <c r="D263" t="s">
        <v>299</v>
      </c>
      <c r="E263" t="s">
        <v>36</v>
      </c>
      <c r="F263">
        <v>77363</v>
      </c>
      <c r="G263">
        <v>77363</v>
      </c>
      <c r="H263">
        <v>1</v>
      </c>
      <c r="I263">
        <f t="shared" si="44"/>
        <v>0</v>
      </c>
      <c r="J263">
        <v>0.42</v>
      </c>
      <c r="K263">
        <f t="shared" si="45"/>
        <v>32492.46</v>
      </c>
      <c r="L263" t="s">
        <v>37</v>
      </c>
      <c r="M263" t="s">
        <v>38</v>
      </c>
      <c r="N263">
        <f t="shared" si="46"/>
        <v>9664.5573024000023</v>
      </c>
      <c r="O263">
        <f t="shared" si="47"/>
        <v>3.9284544605979216E-2</v>
      </c>
      <c r="P263" t="s">
        <v>39</v>
      </c>
      <c r="Q263">
        <f t="shared" si="48"/>
        <v>0.57792484779545783</v>
      </c>
      <c r="R263">
        <f t="shared" si="49"/>
        <v>44710.000000000007</v>
      </c>
      <c r="S263">
        <f t="shared" si="50"/>
        <v>44710.000000000007</v>
      </c>
      <c r="T263">
        <v>44710</v>
      </c>
      <c r="U263">
        <f t="shared" si="51"/>
        <v>-1.6273669456907683E-16</v>
      </c>
      <c r="V263">
        <v>1</v>
      </c>
      <c r="W263">
        <v>0.22500000000000001</v>
      </c>
      <c r="X263">
        <f t="shared" si="52"/>
        <v>10059.750000000002</v>
      </c>
      <c r="Y263">
        <f t="shared" si="53"/>
        <v>10059.750000000002</v>
      </c>
      <c r="Z263">
        <f t="shared" si="54"/>
        <v>0</v>
      </c>
      <c r="AB263" t="s">
        <v>40</v>
      </c>
    </row>
    <row r="264" spans="1:28" x14ac:dyDescent="0.25">
      <c r="A264" t="s">
        <v>106</v>
      </c>
      <c r="D264" t="s">
        <v>300</v>
      </c>
      <c r="E264" t="s">
        <v>36</v>
      </c>
      <c r="F264">
        <v>110738</v>
      </c>
      <c r="G264">
        <v>110738</v>
      </c>
      <c r="H264">
        <v>1</v>
      </c>
      <c r="I264">
        <f t="shared" si="44"/>
        <v>0</v>
      </c>
      <c r="J264">
        <v>0.42</v>
      </c>
      <c r="K264">
        <f t="shared" si="45"/>
        <v>46509.96</v>
      </c>
      <c r="L264" t="s">
        <v>37</v>
      </c>
      <c r="M264" t="s">
        <v>38</v>
      </c>
      <c r="N264">
        <f t="shared" si="46"/>
        <v>13833.922502400001</v>
      </c>
      <c r="O264">
        <f t="shared" si="47"/>
        <v>3.7958065863453891E-2</v>
      </c>
      <c r="P264" t="s">
        <v>39</v>
      </c>
      <c r="Q264">
        <f t="shared" si="48"/>
        <v>0.57712799580992979</v>
      </c>
      <c r="R264">
        <f t="shared" si="49"/>
        <v>63910.000000000007</v>
      </c>
      <c r="S264">
        <f t="shared" si="50"/>
        <v>63910.000000000007</v>
      </c>
      <c r="T264">
        <v>63910</v>
      </c>
      <c r="U264">
        <f t="shared" si="51"/>
        <v>-1.1384693497392309E-16</v>
      </c>
      <c r="V264">
        <v>1</v>
      </c>
      <c r="W264">
        <v>0.22500000000000001</v>
      </c>
      <c r="X264">
        <f t="shared" si="52"/>
        <v>14379.750000000002</v>
      </c>
      <c r="Y264">
        <f t="shared" si="53"/>
        <v>14379.750000000002</v>
      </c>
      <c r="Z264">
        <f t="shared" si="54"/>
        <v>0</v>
      </c>
      <c r="AB264" t="s">
        <v>40</v>
      </c>
    </row>
    <row r="265" spans="1:28" x14ac:dyDescent="0.25">
      <c r="A265" t="s">
        <v>106</v>
      </c>
      <c r="D265" t="s">
        <v>301</v>
      </c>
      <c r="E265" t="s">
        <v>36</v>
      </c>
      <c r="F265">
        <v>77363</v>
      </c>
      <c r="G265">
        <v>77363</v>
      </c>
      <c r="H265">
        <v>1</v>
      </c>
      <c r="I265">
        <f t="shared" si="44"/>
        <v>0</v>
      </c>
      <c r="J265">
        <v>0.42</v>
      </c>
      <c r="K265">
        <f t="shared" si="45"/>
        <v>32492.46</v>
      </c>
      <c r="L265" t="s">
        <v>37</v>
      </c>
      <c r="M265" t="s">
        <v>38</v>
      </c>
      <c r="N265">
        <f t="shared" si="46"/>
        <v>9664.5573024000023</v>
      </c>
      <c r="O265">
        <f t="shared" si="47"/>
        <v>3.9284544605979216E-2</v>
      </c>
      <c r="P265" t="s">
        <v>39</v>
      </c>
      <c r="Q265">
        <f t="shared" si="48"/>
        <v>0.57792484779545783</v>
      </c>
      <c r="R265">
        <f t="shared" si="49"/>
        <v>44710.000000000007</v>
      </c>
      <c r="S265">
        <f t="shared" si="50"/>
        <v>44710.000000000007</v>
      </c>
      <c r="T265">
        <v>44710</v>
      </c>
      <c r="U265">
        <f t="shared" si="51"/>
        <v>-1.6273669456907683E-16</v>
      </c>
      <c r="V265">
        <v>1</v>
      </c>
      <c r="W265">
        <v>0.22500000000000001</v>
      </c>
      <c r="X265">
        <f t="shared" si="52"/>
        <v>10059.750000000002</v>
      </c>
      <c r="Y265">
        <f t="shared" si="53"/>
        <v>10059.750000000002</v>
      </c>
      <c r="Z265">
        <f t="shared" si="54"/>
        <v>0</v>
      </c>
      <c r="AB265" t="s">
        <v>40</v>
      </c>
    </row>
    <row r="266" spans="1:28" x14ac:dyDescent="0.25">
      <c r="A266" t="s">
        <v>106</v>
      </c>
      <c r="D266" t="s">
        <v>302</v>
      </c>
      <c r="E266" t="s">
        <v>36</v>
      </c>
      <c r="F266">
        <v>110738</v>
      </c>
      <c r="G266">
        <v>110738</v>
      </c>
      <c r="H266">
        <v>1</v>
      </c>
      <c r="I266">
        <f t="shared" si="44"/>
        <v>0</v>
      </c>
      <c r="J266">
        <v>0.42</v>
      </c>
      <c r="K266">
        <f t="shared" si="45"/>
        <v>46509.96</v>
      </c>
      <c r="L266" t="s">
        <v>37</v>
      </c>
      <c r="M266" t="s">
        <v>38</v>
      </c>
      <c r="N266">
        <f t="shared" si="46"/>
        <v>13833.922502400001</v>
      </c>
      <c r="O266">
        <f t="shared" si="47"/>
        <v>3.7958065863453891E-2</v>
      </c>
      <c r="P266" t="s">
        <v>39</v>
      </c>
      <c r="Q266">
        <f t="shared" si="48"/>
        <v>0.57712799580992979</v>
      </c>
      <c r="R266">
        <f t="shared" si="49"/>
        <v>63910.000000000007</v>
      </c>
      <c r="S266">
        <f t="shared" si="50"/>
        <v>63910.000000000007</v>
      </c>
      <c r="T266">
        <v>63910</v>
      </c>
      <c r="U266">
        <f t="shared" si="51"/>
        <v>-1.1384693497392309E-16</v>
      </c>
      <c r="V266">
        <v>1</v>
      </c>
      <c r="W266">
        <v>0.22500000000000001</v>
      </c>
      <c r="X266">
        <f t="shared" si="52"/>
        <v>14379.750000000002</v>
      </c>
      <c r="Y266">
        <f t="shared" si="53"/>
        <v>14379.750000000002</v>
      </c>
      <c r="Z266">
        <f t="shared" si="54"/>
        <v>0</v>
      </c>
      <c r="AB266" t="s">
        <v>40</v>
      </c>
    </row>
    <row r="267" spans="1:28" x14ac:dyDescent="0.25">
      <c r="A267" t="s">
        <v>106</v>
      </c>
      <c r="D267" t="s">
        <v>303</v>
      </c>
      <c r="E267" t="s">
        <v>36</v>
      </c>
      <c r="F267">
        <v>81113</v>
      </c>
      <c r="G267">
        <v>81113</v>
      </c>
      <c r="H267">
        <v>1</v>
      </c>
      <c r="I267">
        <f t="shared" si="44"/>
        <v>0</v>
      </c>
      <c r="J267">
        <v>0.42</v>
      </c>
      <c r="K267">
        <f t="shared" si="45"/>
        <v>34067.46</v>
      </c>
      <c r="L267" t="s">
        <v>37</v>
      </c>
      <c r="M267" t="s">
        <v>38</v>
      </c>
      <c r="N267">
        <f t="shared" si="46"/>
        <v>10133.025302400001</v>
      </c>
      <c r="O267">
        <f t="shared" si="47"/>
        <v>3.954642758228466E-2</v>
      </c>
      <c r="P267" t="s">
        <v>39</v>
      </c>
      <c r="Q267">
        <f t="shared" si="48"/>
        <v>0.57808242821742506</v>
      </c>
      <c r="R267">
        <f t="shared" si="49"/>
        <v>46890</v>
      </c>
      <c r="S267">
        <f t="shared" si="50"/>
        <v>46890</v>
      </c>
      <c r="T267">
        <v>46890</v>
      </c>
      <c r="U267">
        <f t="shared" si="51"/>
        <v>0</v>
      </c>
      <c r="V267">
        <v>1</v>
      </c>
      <c r="W267">
        <v>0.22500000000000001</v>
      </c>
      <c r="X267">
        <f t="shared" si="52"/>
        <v>10550.25</v>
      </c>
      <c r="Y267">
        <f t="shared" si="53"/>
        <v>10550.25</v>
      </c>
      <c r="Z267">
        <f t="shared" si="54"/>
        <v>0</v>
      </c>
      <c r="AB267" t="s">
        <v>40</v>
      </c>
    </row>
    <row r="268" spans="1:28" x14ac:dyDescent="0.25">
      <c r="A268" t="s">
        <v>106</v>
      </c>
      <c r="D268" t="s">
        <v>304</v>
      </c>
      <c r="E268" t="s">
        <v>36</v>
      </c>
      <c r="F268">
        <v>114697</v>
      </c>
      <c r="G268">
        <v>114697</v>
      </c>
      <c r="H268">
        <v>1</v>
      </c>
      <c r="I268">
        <f t="shared" si="44"/>
        <v>0</v>
      </c>
      <c r="J268">
        <v>0.42</v>
      </c>
      <c r="K268">
        <f t="shared" si="45"/>
        <v>48172.74</v>
      </c>
      <c r="L268" t="s">
        <v>37</v>
      </c>
      <c r="M268" t="s">
        <v>38</v>
      </c>
      <c r="N268">
        <f t="shared" si="46"/>
        <v>14328.499785600001</v>
      </c>
      <c r="O268">
        <f t="shared" si="47"/>
        <v>3.6285997740112937E-2</v>
      </c>
      <c r="P268" t="s">
        <v>39</v>
      </c>
      <c r="Q268">
        <f t="shared" si="48"/>
        <v>0.57612666416732783</v>
      </c>
      <c r="R268">
        <f t="shared" si="49"/>
        <v>66080</v>
      </c>
      <c r="S268">
        <f t="shared" si="50"/>
        <v>66080</v>
      </c>
      <c r="T268">
        <v>66080</v>
      </c>
      <c r="U268">
        <f t="shared" si="51"/>
        <v>0</v>
      </c>
      <c r="V268">
        <v>1</v>
      </c>
      <c r="W268">
        <v>0.22500000000000001</v>
      </c>
      <c r="X268">
        <f t="shared" si="52"/>
        <v>14868</v>
      </c>
      <c r="Y268">
        <f t="shared" si="53"/>
        <v>14868</v>
      </c>
      <c r="Z268">
        <f t="shared" si="54"/>
        <v>0</v>
      </c>
      <c r="AB268" t="s">
        <v>40</v>
      </c>
    </row>
    <row r="269" spans="1:28" x14ac:dyDescent="0.25">
      <c r="A269" t="s">
        <v>106</v>
      </c>
      <c r="D269" t="s">
        <v>305</v>
      </c>
      <c r="E269" t="s">
        <v>36</v>
      </c>
      <c r="F269">
        <v>81113</v>
      </c>
      <c r="G269">
        <v>81113</v>
      </c>
      <c r="H269">
        <v>1</v>
      </c>
      <c r="I269">
        <f t="shared" si="44"/>
        <v>0</v>
      </c>
      <c r="J269">
        <v>0.42</v>
      </c>
      <c r="K269">
        <f t="shared" si="45"/>
        <v>34067.46</v>
      </c>
      <c r="L269" t="s">
        <v>37</v>
      </c>
      <c r="M269" t="s">
        <v>38</v>
      </c>
      <c r="N269">
        <f t="shared" si="46"/>
        <v>10133.025302400001</v>
      </c>
      <c r="O269">
        <f t="shared" si="47"/>
        <v>3.954642758228466E-2</v>
      </c>
      <c r="P269" t="s">
        <v>39</v>
      </c>
      <c r="Q269">
        <f t="shared" si="48"/>
        <v>0.57808242821742506</v>
      </c>
      <c r="R269">
        <f t="shared" si="49"/>
        <v>46890</v>
      </c>
      <c r="S269">
        <f t="shared" si="50"/>
        <v>46890</v>
      </c>
      <c r="T269">
        <v>46890</v>
      </c>
      <c r="U269">
        <f t="shared" si="51"/>
        <v>0</v>
      </c>
      <c r="V269">
        <v>1</v>
      </c>
      <c r="W269">
        <v>0.22500000000000001</v>
      </c>
      <c r="X269">
        <f t="shared" si="52"/>
        <v>10550.25</v>
      </c>
      <c r="Y269">
        <f t="shared" si="53"/>
        <v>10550.25</v>
      </c>
      <c r="Z269">
        <f t="shared" si="54"/>
        <v>0</v>
      </c>
      <c r="AB269" t="s">
        <v>40</v>
      </c>
    </row>
    <row r="270" spans="1:28" x14ac:dyDescent="0.25">
      <c r="A270" t="s">
        <v>106</v>
      </c>
      <c r="D270" t="s">
        <v>306</v>
      </c>
      <c r="E270" t="s">
        <v>36</v>
      </c>
      <c r="F270">
        <v>114697</v>
      </c>
      <c r="G270">
        <v>114697</v>
      </c>
      <c r="H270">
        <v>1</v>
      </c>
      <c r="I270">
        <f t="shared" si="44"/>
        <v>0</v>
      </c>
      <c r="J270">
        <v>0.42</v>
      </c>
      <c r="K270">
        <f t="shared" si="45"/>
        <v>48172.74</v>
      </c>
      <c r="L270" t="s">
        <v>37</v>
      </c>
      <c r="M270" t="s">
        <v>38</v>
      </c>
      <c r="N270">
        <f t="shared" si="46"/>
        <v>14328.499785600001</v>
      </c>
      <c r="O270">
        <f t="shared" si="47"/>
        <v>3.6285997740112937E-2</v>
      </c>
      <c r="P270" t="s">
        <v>39</v>
      </c>
      <c r="Q270">
        <f t="shared" si="48"/>
        <v>0.57612666416732783</v>
      </c>
      <c r="R270">
        <f t="shared" si="49"/>
        <v>66080</v>
      </c>
      <c r="S270">
        <f t="shared" si="50"/>
        <v>66080</v>
      </c>
      <c r="T270">
        <v>66080</v>
      </c>
      <c r="U270">
        <f t="shared" si="51"/>
        <v>0</v>
      </c>
      <c r="V270">
        <v>1</v>
      </c>
      <c r="W270">
        <v>0.22500000000000001</v>
      </c>
      <c r="X270">
        <f t="shared" si="52"/>
        <v>14868</v>
      </c>
      <c r="Y270">
        <f t="shared" si="53"/>
        <v>14868</v>
      </c>
      <c r="Z270">
        <f t="shared" si="54"/>
        <v>0</v>
      </c>
      <c r="AB270" t="s">
        <v>40</v>
      </c>
    </row>
    <row r="271" spans="1:28" x14ac:dyDescent="0.25">
      <c r="A271" t="s">
        <v>106</v>
      </c>
      <c r="D271" t="s">
        <v>307</v>
      </c>
      <c r="E271" t="s">
        <v>36</v>
      </c>
      <c r="F271">
        <v>86322</v>
      </c>
      <c r="G271">
        <v>86322</v>
      </c>
      <c r="H271">
        <v>1</v>
      </c>
      <c r="I271">
        <f t="shared" si="44"/>
        <v>0</v>
      </c>
      <c r="J271">
        <v>0.42</v>
      </c>
      <c r="K271">
        <f t="shared" si="45"/>
        <v>36255.24</v>
      </c>
      <c r="L271" t="s">
        <v>37</v>
      </c>
      <c r="M271" t="s">
        <v>38</v>
      </c>
      <c r="N271">
        <f t="shared" si="46"/>
        <v>10783.758585600001</v>
      </c>
      <c r="O271">
        <f t="shared" si="47"/>
        <v>3.8752187404733206E-2</v>
      </c>
      <c r="P271" t="s">
        <v>39</v>
      </c>
      <c r="Q271">
        <f t="shared" si="48"/>
        <v>0.57760478209494681</v>
      </c>
      <c r="R271">
        <f t="shared" si="49"/>
        <v>49860</v>
      </c>
      <c r="S271">
        <f t="shared" si="50"/>
        <v>49860</v>
      </c>
      <c r="T271">
        <v>49860</v>
      </c>
      <c r="U271">
        <f t="shared" si="51"/>
        <v>0</v>
      </c>
      <c r="V271">
        <v>1</v>
      </c>
      <c r="W271">
        <v>0.22500000000000001</v>
      </c>
      <c r="X271">
        <f t="shared" si="52"/>
        <v>11218.5</v>
      </c>
      <c r="Y271">
        <f t="shared" si="53"/>
        <v>11218.5</v>
      </c>
      <c r="Z271">
        <f t="shared" si="54"/>
        <v>0</v>
      </c>
      <c r="AB271" t="s">
        <v>40</v>
      </c>
    </row>
    <row r="272" spans="1:28" x14ac:dyDescent="0.25">
      <c r="A272" t="s">
        <v>106</v>
      </c>
      <c r="D272" t="s">
        <v>308</v>
      </c>
      <c r="E272" t="s">
        <v>36</v>
      </c>
      <c r="F272">
        <v>119697</v>
      </c>
      <c r="G272">
        <v>119697</v>
      </c>
      <c r="H272">
        <v>1</v>
      </c>
      <c r="I272">
        <f t="shared" si="44"/>
        <v>0</v>
      </c>
      <c r="J272">
        <v>0.42</v>
      </c>
      <c r="K272">
        <f t="shared" si="45"/>
        <v>50272.74</v>
      </c>
      <c r="L272" t="s">
        <v>37</v>
      </c>
      <c r="M272" t="s">
        <v>38</v>
      </c>
      <c r="N272">
        <f t="shared" si="46"/>
        <v>14953.123785600001</v>
      </c>
      <c r="O272">
        <f t="shared" si="47"/>
        <v>3.6556568048709728E-2</v>
      </c>
      <c r="P272" t="s">
        <v>39</v>
      </c>
      <c r="Q272">
        <f t="shared" si="48"/>
        <v>0.57628846169912362</v>
      </c>
      <c r="R272">
        <f t="shared" si="49"/>
        <v>68980</v>
      </c>
      <c r="S272">
        <f t="shared" si="50"/>
        <v>68980</v>
      </c>
      <c r="T272">
        <v>68980</v>
      </c>
      <c r="U272">
        <f t="shared" si="51"/>
        <v>0</v>
      </c>
      <c r="V272">
        <v>1</v>
      </c>
      <c r="W272">
        <v>0.22500000000000001</v>
      </c>
      <c r="X272">
        <f t="shared" si="52"/>
        <v>15520.5</v>
      </c>
      <c r="Y272">
        <f t="shared" si="53"/>
        <v>15520.5</v>
      </c>
      <c r="Z272">
        <f t="shared" si="54"/>
        <v>0</v>
      </c>
      <c r="AB272" t="s">
        <v>40</v>
      </c>
    </row>
    <row r="273" spans="1:28" x14ac:dyDescent="0.25">
      <c r="A273" t="s">
        <v>106</v>
      </c>
      <c r="D273" t="s">
        <v>309</v>
      </c>
      <c r="E273" t="s">
        <v>36</v>
      </c>
      <c r="F273">
        <v>86322</v>
      </c>
      <c r="G273">
        <v>86322</v>
      </c>
      <c r="H273">
        <v>1</v>
      </c>
      <c r="I273">
        <f t="shared" si="44"/>
        <v>0</v>
      </c>
      <c r="J273">
        <v>0.42</v>
      </c>
      <c r="K273">
        <f t="shared" si="45"/>
        <v>36255.24</v>
      </c>
      <c r="L273" t="s">
        <v>37</v>
      </c>
      <c r="M273" t="s">
        <v>38</v>
      </c>
      <c r="N273">
        <f t="shared" si="46"/>
        <v>10783.758585600001</v>
      </c>
      <c r="O273">
        <f t="shared" si="47"/>
        <v>3.8752187404733206E-2</v>
      </c>
      <c r="P273" t="s">
        <v>39</v>
      </c>
      <c r="Q273">
        <f t="shared" si="48"/>
        <v>0.57760478209494681</v>
      </c>
      <c r="R273">
        <f t="shared" si="49"/>
        <v>49860</v>
      </c>
      <c r="S273">
        <f t="shared" si="50"/>
        <v>49860</v>
      </c>
      <c r="T273">
        <v>49860</v>
      </c>
      <c r="U273">
        <f t="shared" si="51"/>
        <v>0</v>
      </c>
      <c r="V273">
        <v>1</v>
      </c>
      <c r="W273">
        <v>0.22500000000000001</v>
      </c>
      <c r="X273">
        <f t="shared" si="52"/>
        <v>11218.5</v>
      </c>
      <c r="Y273">
        <f t="shared" si="53"/>
        <v>11218.5</v>
      </c>
      <c r="Z273">
        <f t="shared" si="54"/>
        <v>0</v>
      </c>
      <c r="AB273" t="s">
        <v>40</v>
      </c>
    </row>
    <row r="274" spans="1:28" x14ac:dyDescent="0.25">
      <c r="A274" t="s">
        <v>106</v>
      </c>
      <c r="D274" t="s">
        <v>310</v>
      </c>
      <c r="E274" t="s">
        <v>36</v>
      </c>
      <c r="F274">
        <v>119697</v>
      </c>
      <c r="G274">
        <v>119697</v>
      </c>
      <c r="H274">
        <v>1</v>
      </c>
      <c r="I274">
        <f t="shared" si="44"/>
        <v>0</v>
      </c>
      <c r="J274">
        <v>0.42</v>
      </c>
      <c r="K274">
        <f t="shared" si="45"/>
        <v>50272.74</v>
      </c>
      <c r="L274" t="s">
        <v>37</v>
      </c>
      <c r="M274" t="s">
        <v>38</v>
      </c>
      <c r="N274">
        <f t="shared" si="46"/>
        <v>14953.123785600001</v>
      </c>
      <c r="O274">
        <f t="shared" si="47"/>
        <v>3.6556568048709728E-2</v>
      </c>
      <c r="P274" t="s">
        <v>39</v>
      </c>
      <c r="Q274">
        <f t="shared" si="48"/>
        <v>0.57628846169912362</v>
      </c>
      <c r="R274">
        <f t="shared" si="49"/>
        <v>68980</v>
      </c>
      <c r="S274">
        <f t="shared" si="50"/>
        <v>68980</v>
      </c>
      <c r="T274">
        <v>68980</v>
      </c>
      <c r="U274">
        <f t="shared" si="51"/>
        <v>0</v>
      </c>
      <c r="V274">
        <v>1</v>
      </c>
      <c r="W274">
        <v>0.22500000000000001</v>
      </c>
      <c r="X274">
        <f t="shared" si="52"/>
        <v>15520.5</v>
      </c>
      <c r="Y274">
        <f t="shared" si="53"/>
        <v>15520.5</v>
      </c>
      <c r="Z274">
        <f t="shared" si="54"/>
        <v>0</v>
      </c>
      <c r="AB274" t="s">
        <v>40</v>
      </c>
    </row>
    <row r="275" spans="1:28" x14ac:dyDescent="0.25">
      <c r="A275" t="s">
        <v>106</v>
      </c>
      <c r="D275" t="s">
        <v>311</v>
      </c>
      <c r="E275" t="s">
        <v>36</v>
      </c>
      <c r="F275">
        <v>93822</v>
      </c>
      <c r="G275">
        <v>93822</v>
      </c>
      <c r="H275">
        <v>1</v>
      </c>
      <c r="I275">
        <f t="shared" si="44"/>
        <v>0</v>
      </c>
      <c r="J275">
        <v>0.42</v>
      </c>
      <c r="K275">
        <f t="shared" si="45"/>
        <v>39405.24</v>
      </c>
      <c r="L275" t="s">
        <v>37</v>
      </c>
      <c r="M275" t="s">
        <v>38</v>
      </c>
      <c r="N275">
        <f t="shared" si="46"/>
        <v>11720.694585600002</v>
      </c>
      <c r="O275">
        <f t="shared" si="47"/>
        <v>3.7650546166635712E-2</v>
      </c>
      <c r="P275" t="s">
        <v>39</v>
      </c>
      <c r="Q275">
        <f t="shared" si="48"/>
        <v>0.57694357400183327</v>
      </c>
      <c r="R275">
        <f t="shared" si="49"/>
        <v>54130</v>
      </c>
      <c r="S275">
        <f t="shared" si="50"/>
        <v>54130</v>
      </c>
      <c r="T275">
        <v>54130</v>
      </c>
      <c r="U275">
        <f t="shared" si="51"/>
        <v>0</v>
      </c>
      <c r="V275">
        <v>1</v>
      </c>
      <c r="W275">
        <v>0.22500000000000001</v>
      </c>
      <c r="X275">
        <f t="shared" si="52"/>
        <v>12179.25</v>
      </c>
      <c r="Y275">
        <f t="shared" si="53"/>
        <v>12179.25</v>
      </c>
      <c r="Z275">
        <f t="shared" si="54"/>
        <v>0</v>
      </c>
      <c r="AB275" t="s">
        <v>40</v>
      </c>
    </row>
    <row r="276" spans="1:28" x14ac:dyDescent="0.25">
      <c r="A276" t="s">
        <v>106</v>
      </c>
      <c r="D276" t="s">
        <v>312</v>
      </c>
      <c r="E276" t="s">
        <v>36</v>
      </c>
      <c r="F276">
        <v>126780</v>
      </c>
      <c r="G276">
        <v>126780</v>
      </c>
      <c r="H276">
        <v>1</v>
      </c>
      <c r="I276">
        <f t="shared" si="44"/>
        <v>0</v>
      </c>
      <c r="J276">
        <v>0.42</v>
      </c>
      <c r="K276">
        <f t="shared" si="45"/>
        <v>53247.6</v>
      </c>
      <c r="L276" t="s">
        <v>37</v>
      </c>
      <c r="M276" t="s">
        <v>38</v>
      </c>
      <c r="N276">
        <f t="shared" si="46"/>
        <v>15837.966144000002</v>
      </c>
      <c r="O276">
        <f t="shared" si="47"/>
        <v>3.9031254061433339E-2</v>
      </c>
      <c r="P276" t="s">
        <v>39</v>
      </c>
      <c r="Q276">
        <f t="shared" si="48"/>
        <v>0.57777251932481466</v>
      </c>
      <c r="R276">
        <f t="shared" si="49"/>
        <v>73250</v>
      </c>
      <c r="S276">
        <f t="shared" si="50"/>
        <v>73250</v>
      </c>
      <c r="T276">
        <v>73250</v>
      </c>
      <c r="U276">
        <f t="shared" si="51"/>
        <v>0</v>
      </c>
      <c r="V276">
        <v>1</v>
      </c>
      <c r="W276">
        <v>0.22500000000000001</v>
      </c>
      <c r="X276">
        <f t="shared" si="52"/>
        <v>16481.25</v>
      </c>
      <c r="Y276">
        <f t="shared" si="53"/>
        <v>16481.25</v>
      </c>
      <c r="Z276">
        <f t="shared" si="54"/>
        <v>0</v>
      </c>
      <c r="AB276" t="s">
        <v>40</v>
      </c>
    </row>
    <row r="277" spans="1:28" x14ac:dyDescent="0.25">
      <c r="A277" t="s">
        <v>106</v>
      </c>
      <c r="D277" t="s">
        <v>313</v>
      </c>
      <c r="E277" t="s">
        <v>36</v>
      </c>
      <c r="F277">
        <v>106322</v>
      </c>
      <c r="G277">
        <v>106322</v>
      </c>
      <c r="H277">
        <v>1</v>
      </c>
      <c r="I277">
        <f t="shared" si="44"/>
        <v>0</v>
      </c>
      <c r="J277">
        <v>0.42</v>
      </c>
      <c r="K277">
        <f t="shared" si="45"/>
        <v>44655.24</v>
      </c>
      <c r="L277" t="s">
        <v>37</v>
      </c>
      <c r="M277" t="s">
        <v>38</v>
      </c>
      <c r="N277">
        <f t="shared" si="46"/>
        <v>13282.254585600002</v>
      </c>
      <c r="O277">
        <f t="shared" si="47"/>
        <v>3.5893473743807393E-2</v>
      </c>
      <c r="P277" t="s">
        <v>39</v>
      </c>
      <c r="Q277">
        <f t="shared" si="48"/>
        <v>0.57589210135249524</v>
      </c>
      <c r="R277">
        <f t="shared" si="49"/>
        <v>61230</v>
      </c>
      <c r="S277">
        <f t="shared" si="50"/>
        <v>61230</v>
      </c>
      <c r="T277">
        <v>61230</v>
      </c>
      <c r="U277">
        <f t="shared" si="51"/>
        <v>0</v>
      </c>
      <c r="V277">
        <v>1</v>
      </c>
      <c r="W277">
        <v>0.22500000000000001</v>
      </c>
      <c r="X277">
        <f t="shared" si="52"/>
        <v>13776.75</v>
      </c>
      <c r="Y277">
        <f t="shared" si="53"/>
        <v>13776.75</v>
      </c>
      <c r="Z277">
        <f t="shared" si="54"/>
        <v>0</v>
      </c>
      <c r="AB277" t="s">
        <v>40</v>
      </c>
    </row>
    <row r="278" spans="1:28" x14ac:dyDescent="0.25">
      <c r="A278" t="s">
        <v>106</v>
      </c>
      <c r="D278" t="s">
        <v>314</v>
      </c>
      <c r="E278" t="s">
        <v>36</v>
      </c>
      <c r="F278">
        <v>139697</v>
      </c>
      <c r="G278">
        <v>139697</v>
      </c>
      <c r="H278">
        <v>1</v>
      </c>
      <c r="I278">
        <f t="shared" si="44"/>
        <v>0</v>
      </c>
      <c r="J278">
        <v>0.42</v>
      </c>
      <c r="K278">
        <f t="shared" si="45"/>
        <v>58672.74</v>
      </c>
      <c r="L278" t="s">
        <v>37</v>
      </c>
      <c r="M278" t="s">
        <v>38</v>
      </c>
      <c r="N278">
        <f t="shared" si="46"/>
        <v>17451.6197856</v>
      </c>
      <c r="O278">
        <f t="shared" si="47"/>
        <v>3.8994491355883211E-2</v>
      </c>
      <c r="P278" t="s">
        <v>39</v>
      </c>
      <c r="Q278">
        <f t="shared" si="48"/>
        <v>0.57775041697387919</v>
      </c>
      <c r="R278">
        <f t="shared" si="49"/>
        <v>80710</v>
      </c>
      <c r="S278">
        <f t="shared" si="50"/>
        <v>80710</v>
      </c>
      <c r="T278">
        <v>80710</v>
      </c>
      <c r="U278">
        <f t="shared" si="51"/>
        <v>0</v>
      </c>
      <c r="V278">
        <v>1</v>
      </c>
      <c r="W278">
        <v>0.22500000000000001</v>
      </c>
      <c r="X278">
        <f t="shared" si="52"/>
        <v>18159.75</v>
      </c>
      <c r="Y278">
        <f t="shared" si="53"/>
        <v>18159.75</v>
      </c>
      <c r="Z278">
        <f t="shared" si="54"/>
        <v>0</v>
      </c>
      <c r="AB278" t="s">
        <v>40</v>
      </c>
    </row>
    <row r="279" spans="1:28" x14ac:dyDescent="0.25">
      <c r="A279" t="s">
        <v>106</v>
      </c>
      <c r="D279" t="s">
        <v>315</v>
      </c>
      <c r="E279" t="s">
        <v>36</v>
      </c>
      <c r="F279">
        <v>106322</v>
      </c>
      <c r="G279">
        <v>106322</v>
      </c>
      <c r="H279">
        <v>1</v>
      </c>
      <c r="I279">
        <f t="shared" si="44"/>
        <v>0</v>
      </c>
      <c r="J279">
        <v>0.42</v>
      </c>
      <c r="K279">
        <f t="shared" si="45"/>
        <v>44655.24</v>
      </c>
      <c r="L279" t="s">
        <v>37</v>
      </c>
      <c r="M279" t="s">
        <v>38</v>
      </c>
      <c r="N279">
        <f t="shared" si="46"/>
        <v>13282.254585600002</v>
      </c>
      <c r="O279">
        <f t="shared" si="47"/>
        <v>3.5893473743807393E-2</v>
      </c>
      <c r="P279" t="s">
        <v>39</v>
      </c>
      <c r="Q279">
        <f t="shared" si="48"/>
        <v>0.57589210135249524</v>
      </c>
      <c r="R279">
        <f t="shared" si="49"/>
        <v>61230</v>
      </c>
      <c r="S279">
        <f t="shared" si="50"/>
        <v>61230</v>
      </c>
      <c r="T279">
        <v>61230</v>
      </c>
      <c r="U279">
        <f t="shared" si="51"/>
        <v>0</v>
      </c>
      <c r="V279">
        <v>1</v>
      </c>
      <c r="W279">
        <v>0.22500000000000001</v>
      </c>
      <c r="X279">
        <f t="shared" si="52"/>
        <v>13776.75</v>
      </c>
      <c r="Y279">
        <f t="shared" si="53"/>
        <v>13776.75</v>
      </c>
      <c r="Z279">
        <f t="shared" si="54"/>
        <v>0</v>
      </c>
      <c r="AB279" t="s">
        <v>40</v>
      </c>
    </row>
    <row r="280" spans="1:28" x14ac:dyDescent="0.25">
      <c r="A280" t="s">
        <v>106</v>
      </c>
      <c r="D280" t="s">
        <v>316</v>
      </c>
      <c r="E280" t="s">
        <v>36</v>
      </c>
      <c r="F280">
        <v>139697</v>
      </c>
      <c r="G280">
        <v>139697</v>
      </c>
      <c r="H280">
        <v>1</v>
      </c>
      <c r="I280">
        <f t="shared" si="44"/>
        <v>0</v>
      </c>
      <c r="J280">
        <v>0.42</v>
      </c>
      <c r="K280">
        <f t="shared" si="45"/>
        <v>58672.74</v>
      </c>
      <c r="L280" t="s">
        <v>37</v>
      </c>
      <c r="M280" t="s">
        <v>38</v>
      </c>
      <c r="N280">
        <f t="shared" si="46"/>
        <v>17451.6197856</v>
      </c>
      <c r="O280">
        <f t="shared" si="47"/>
        <v>3.8994491355883211E-2</v>
      </c>
      <c r="P280" t="s">
        <v>39</v>
      </c>
      <c r="Q280">
        <f t="shared" si="48"/>
        <v>0.57775041697387919</v>
      </c>
      <c r="R280">
        <f t="shared" si="49"/>
        <v>80710</v>
      </c>
      <c r="S280">
        <f t="shared" si="50"/>
        <v>80710</v>
      </c>
      <c r="T280">
        <v>80710</v>
      </c>
      <c r="U280">
        <f t="shared" si="51"/>
        <v>0</v>
      </c>
      <c r="V280">
        <v>1</v>
      </c>
      <c r="W280">
        <v>0.22500000000000001</v>
      </c>
      <c r="X280">
        <f t="shared" si="52"/>
        <v>18159.75</v>
      </c>
      <c r="Y280">
        <f t="shared" si="53"/>
        <v>18159.75</v>
      </c>
      <c r="Z280">
        <f t="shared" si="54"/>
        <v>0</v>
      </c>
      <c r="AB280" t="s">
        <v>40</v>
      </c>
    </row>
    <row r="281" spans="1:28" x14ac:dyDescent="0.25">
      <c r="A281" t="s">
        <v>317</v>
      </c>
      <c r="B281" t="s">
        <v>318</v>
      </c>
      <c r="D281" t="s">
        <v>319</v>
      </c>
      <c r="E281" t="s">
        <v>36</v>
      </c>
      <c r="F281">
        <v>157000</v>
      </c>
      <c r="G281">
        <v>157000</v>
      </c>
      <c r="H281">
        <v>1</v>
      </c>
      <c r="I281">
        <f t="shared" si="44"/>
        <v>0</v>
      </c>
      <c r="J281">
        <v>0.42</v>
      </c>
      <c r="K281">
        <f t="shared" si="45"/>
        <v>65940</v>
      </c>
      <c r="L281" t="s">
        <v>37</v>
      </c>
      <c r="N281">
        <f t="shared" si="46"/>
        <v>19613.193600000006</v>
      </c>
      <c r="O281">
        <f t="shared" si="47"/>
        <v>0.14050730296456951</v>
      </c>
      <c r="P281" t="s">
        <v>39</v>
      </c>
      <c r="Q281">
        <f t="shared" si="48"/>
        <v>0.64598726114649685</v>
      </c>
      <c r="R281">
        <f t="shared" si="49"/>
        <v>101420</v>
      </c>
      <c r="S281">
        <f t="shared" si="50"/>
        <v>101420</v>
      </c>
      <c r="T281">
        <v>101420</v>
      </c>
      <c r="U281">
        <f t="shared" si="51"/>
        <v>0</v>
      </c>
      <c r="V281">
        <v>1</v>
      </c>
      <c r="W281">
        <v>0.22500000000000001</v>
      </c>
      <c r="X281">
        <f t="shared" si="52"/>
        <v>22819.5</v>
      </c>
      <c r="Y281">
        <f t="shared" si="53"/>
        <v>22819.5</v>
      </c>
      <c r="Z281">
        <f t="shared" si="54"/>
        <v>0</v>
      </c>
      <c r="AB281" t="s">
        <v>40</v>
      </c>
    </row>
    <row r="282" spans="1:28" x14ac:dyDescent="0.25">
      <c r="A282" t="s">
        <v>320</v>
      </c>
      <c r="B282" t="s">
        <v>321</v>
      </c>
      <c r="D282" t="s">
        <v>322</v>
      </c>
      <c r="E282" t="s">
        <v>36</v>
      </c>
      <c r="F282">
        <v>36300</v>
      </c>
      <c r="G282">
        <v>36300</v>
      </c>
      <c r="H282">
        <v>1</v>
      </c>
      <c r="I282">
        <f t="shared" si="44"/>
        <v>0</v>
      </c>
      <c r="J282">
        <v>0.42</v>
      </c>
      <c r="K282">
        <f t="shared" si="45"/>
        <v>15246</v>
      </c>
      <c r="L282" t="s">
        <v>37</v>
      </c>
      <c r="N282">
        <f t="shared" si="46"/>
        <v>4534.7702400000007</v>
      </c>
      <c r="O282">
        <f t="shared" si="47"/>
        <v>0.14308952380952367</v>
      </c>
      <c r="P282" t="s">
        <v>39</v>
      </c>
      <c r="Q282">
        <f t="shared" si="48"/>
        <v>0.64793388429752063</v>
      </c>
      <c r="R282">
        <f t="shared" si="49"/>
        <v>23520</v>
      </c>
      <c r="S282">
        <f t="shared" si="50"/>
        <v>23520</v>
      </c>
      <c r="T282">
        <v>23520</v>
      </c>
      <c r="U282">
        <f t="shared" si="51"/>
        <v>0</v>
      </c>
      <c r="V282">
        <v>1</v>
      </c>
      <c r="W282">
        <v>0.22500000000000001</v>
      </c>
      <c r="X282">
        <f t="shared" si="52"/>
        <v>5292</v>
      </c>
      <c r="Y282">
        <f t="shared" si="53"/>
        <v>5292</v>
      </c>
      <c r="Z282">
        <f t="shared" si="54"/>
        <v>0</v>
      </c>
      <c r="AB282" t="s">
        <v>40</v>
      </c>
    </row>
    <row r="283" spans="1:28" x14ac:dyDescent="0.25">
      <c r="A283" t="s">
        <v>320</v>
      </c>
      <c r="B283" t="s">
        <v>323</v>
      </c>
      <c r="D283" t="s">
        <v>324</v>
      </c>
      <c r="E283" t="s">
        <v>36</v>
      </c>
      <c r="F283">
        <v>36300</v>
      </c>
      <c r="G283">
        <v>36300</v>
      </c>
      <c r="H283">
        <v>1</v>
      </c>
      <c r="I283">
        <f t="shared" si="44"/>
        <v>0</v>
      </c>
      <c r="J283">
        <v>0.42</v>
      </c>
      <c r="K283">
        <f t="shared" si="45"/>
        <v>15246</v>
      </c>
      <c r="L283" t="s">
        <v>37</v>
      </c>
      <c r="N283">
        <f t="shared" si="46"/>
        <v>4534.7702400000007</v>
      </c>
      <c r="O283">
        <f t="shared" si="47"/>
        <v>0.14308952380952367</v>
      </c>
      <c r="P283" t="s">
        <v>39</v>
      </c>
      <c r="Q283">
        <f t="shared" si="48"/>
        <v>0.64793388429752063</v>
      </c>
      <c r="R283">
        <f t="shared" si="49"/>
        <v>23520</v>
      </c>
      <c r="S283">
        <f t="shared" si="50"/>
        <v>23520</v>
      </c>
      <c r="T283">
        <v>23520</v>
      </c>
      <c r="U283">
        <f t="shared" si="51"/>
        <v>0</v>
      </c>
      <c r="V283">
        <v>1</v>
      </c>
      <c r="W283">
        <v>0.22500000000000001</v>
      </c>
      <c r="X283">
        <f t="shared" si="52"/>
        <v>5292</v>
      </c>
      <c r="Y283">
        <f t="shared" si="53"/>
        <v>5292</v>
      </c>
      <c r="Z283">
        <f t="shared" si="54"/>
        <v>0</v>
      </c>
      <c r="AB283" t="s">
        <v>40</v>
      </c>
    </row>
    <row r="284" spans="1:28" x14ac:dyDescent="0.25">
      <c r="A284" t="s">
        <v>320</v>
      </c>
      <c r="B284" t="s">
        <v>325</v>
      </c>
      <c r="D284" t="s">
        <v>326</v>
      </c>
      <c r="E284" t="s">
        <v>36</v>
      </c>
      <c r="F284">
        <v>36300</v>
      </c>
      <c r="G284">
        <v>36300</v>
      </c>
      <c r="H284">
        <v>1</v>
      </c>
      <c r="I284">
        <f t="shared" si="44"/>
        <v>0</v>
      </c>
      <c r="J284">
        <v>0.42</v>
      </c>
      <c r="K284">
        <f t="shared" si="45"/>
        <v>15246</v>
      </c>
      <c r="L284" t="s">
        <v>37</v>
      </c>
      <c r="N284">
        <f t="shared" si="46"/>
        <v>4534.7702400000007</v>
      </c>
      <c r="O284">
        <f t="shared" si="47"/>
        <v>0.14308952380952367</v>
      </c>
      <c r="P284" t="s">
        <v>39</v>
      </c>
      <c r="Q284">
        <f t="shared" si="48"/>
        <v>0.64793388429752063</v>
      </c>
      <c r="R284">
        <f t="shared" si="49"/>
        <v>23520</v>
      </c>
      <c r="S284">
        <f t="shared" si="50"/>
        <v>23520</v>
      </c>
      <c r="T284">
        <v>23520</v>
      </c>
      <c r="U284">
        <f t="shared" si="51"/>
        <v>0</v>
      </c>
      <c r="V284">
        <v>1</v>
      </c>
      <c r="W284">
        <v>0.22500000000000001</v>
      </c>
      <c r="X284">
        <f t="shared" si="52"/>
        <v>5292</v>
      </c>
      <c r="Y284">
        <f t="shared" si="53"/>
        <v>5292</v>
      </c>
      <c r="Z284">
        <f t="shared" si="54"/>
        <v>0</v>
      </c>
      <c r="AB284" t="s">
        <v>40</v>
      </c>
    </row>
    <row r="285" spans="1:28" x14ac:dyDescent="0.25">
      <c r="A285" t="s">
        <v>320</v>
      </c>
      <c r="B285" t="s">
        <v>327</v>
      </c>
      <c r="D285" t="s">
        <v>328</v>
      </c>
      <c r="E285" t="s">
        <v>36</v>
      </c>
      <c r="F285">
        <v>36300</v>
      </c>
      <c r="G285">
        <v>36300</v>
      </c>
      <c r="H285">
        <v>1</v>
      </c>
      <c r="I285">
        <f t="shared" si="44"/>
        <v>0</v>
      </c>
      <c r="J285">
        <v>0.42</v>
      </c>
      <c r="K285">
        <f t="shared" si="45"/>
        <v>15246</v>
      </c>
      <c r="L285" t="s">
        <v>37</v>
      </c>
      <c r="N285">
        <f t="shared" si="46"/>
        <v>4534.7702400000007</v>
      </c>
      <c r="O285">
        <f t="shared" si="47"/>
        <v>0.14308952380952367</v>
      </c>
      <c r="P285" t="s">
        <v>39</v>
      </c>
      <c r="Q285">
        <f t="shared" si="48"/>
        <v>0.64793388429752063</v>
      </c>
      <c r="R285">
        <f t="shared" si="49"/>
        <v>23520</v>
      </c>
      <c r="S285">
        <f t="shared" si="50"/>
        <v>23520</v>
      </c>
      <c r="T285">
        <v>23520</v>
      </c>
      <c r="U285">
        <f t="shared" si="51"/>
        <v>0</v>
      </c>
      <c r="V285">
        <v>1</v>
      </c>
      <c r="W285">
        <v>0.22500000000000001</v>
      </c>
      <c r="X285">
        <f t="shared" si="52"/>
        <v>5292</v>
      </c>
      <c r="Y285">
        <f t="shared" si="53"/>
        <v>5292</v>
      </c>
      <c r="Z285">
        <f t="shared" si="54"/>
        <v>0</v>
      </c>
      <c r="AB285" t="s">
        <v>40</v>
      </c>
    </row>
    <row r="286" spans="1:28" x14ac:dyDescent="0.25">
      <c r="A286" t="s">
        <v>329</v>
      </c>
      <c r="B286" t="s">
        <v>330</v>
      </c>
      <c r="D286" t="s">
        <v>331</v>
      </c>
      <c r="E286" t="s">
        <v>36</v>
      </c>
      <c r="F286">
        <v>16900</v>
      </c>
      <c r="G286">
        <v>16900</v>
      </c>
      <c r="H286">
        <v>1</v>
      </c>
      <c r="I286">
        <f t="shared" si="44"/>
        <v>0</v>
      </c>
      <c r="J286">
        <v>0.42</v>
      </c>
      <c r="K286">
        <f t="shared" si="45"/>
        <v>7098</v>
      </c>
      <c r="L286" t="s">
        <v>37</v>
      </c>
      <c r="N286">
        <f t="shared" si="46"/>
        <v>2111.2291200000004</v>
      </c>
      <c r="O286">
        <f t="shared" si="47"/>
        <v>0.14775290342113212</v>
      </c>
      <c r="P286" t="s">
        <v>39</v>
      </c>
      <c r="Q286">
        <f t="shared" si="48"/>
        <v>0.65147928994082838</v>
      </c>
      <c r="R286">
        <f t="shared" si="49"/>
        <v>11010</v>
      </c>
      <c r="S286">
        <f t="shared" si="50"/>
        <v>11010</v>
      </c>
      <c r="T286">
        <v>11010</v>
      </c>
      <c r="U286">
        <f t="shared" si="51"/>
        <v>0</v>
      </c>
      <c r="V286">
        <v>1</v>
      </c>
      <c r="W286">
        <v>0.22500000000000001</v>
      </c>
      <c r="X286">
        <f t="shared" si="52"/>
        <v>2477.25</v>
      </c>
      <c r="Y286">
        <f t="shared" si="53"/>
        <v>2477.25</v>
      </c>
      <c r="Z286">
        <f t="shared" si="54"/>
        <v>0</v>
      </c>
      <c r="AB286" t="s">
        <v>40</v>
      </c>
    </row>
    <row r="287" spans="1:28" x14ac:dyDescent="0.25">
      <c r="A287" t="s">
        <v>329</v>
      </c>
      <c r="B287" t="s">
        <v>332</v>
      </c>
      <c r="D287" t="s">
        <v>333</v>
      </c>
      <c r="E287" t="s">
        <v>36</v>
      </c>
      <c r="F287">
        <v>16900</v>
      </c>
      <c r="G287">
        <v>16900</v>
      </c>
      <c r="H287">
        <v>1</v>
      </c>
      <c r="I287">
        <f t="shared" si="44"/>
        <v>0</v>
      </c>
      <c r="J287">
        <v>0.42</v>
      </c>
      <c r="K287">
        <f t="shared" si="45"/>
        <v>7098</v>
      </c>
      <c r="L287" t="s">
        <v>37</v>
      </c>
      <c r="N287">
        <f t="shared" si="46"/>
        <v>2111.2291200000004</v>
      </c>
      <c r="O287">
        <f t="shared" si="47"/>
        <v>0.14775290342113212</v>
      </c>
      <c r="P287" t="s">
        <v>39</v>
      </c>
      <c r="Q287">
        <f t="shared" si="48"/>
        <v>0.65147928994082838</v>
      </c>
      <c r="R287">
        <f t="shared" si="49"/>
        <v>11010</v>
      </c>
      <c r="S287">
        <f t="shared" si="50"/>
        <v>11010</v>
      </c>
      <c r="T287">
        <v>11010</v>
      </c>
      <c r="U287">
        <f t="shared" si="51"/>
        <v>0</v>
      </c>
      <c r="V287">
        <v>1</v>
      </c>
      <c r="W287">
        <v>0.22500000000000001</v>
      </c>
      <c r="X287">
        <f t="shared" si="52"/>
        <v>2477.25</v>
      </c>
      <c r="Y287">
        <f t="shared" si="53"/>
        <v>2477.25</v>
      </c>
      <c r="Z287">
        <f t="shared" si="54"/>
        <v>0</v>
      </c>
      <c r="AB287" t="s">
        <v>40</v>
      </c>
    </row>
    <row r="288" spans="1:28" x14ac:dyDescent="0.25">
      <c r="A288" t="s">
        <v>329</v>
      </c>
      <c r="B288" t="s">
        <v>334</v>
      </c>
      <c r="D288" t="s">
        <v>335</v>
      </c>
      <c r="E288" t="s">
        <v>36</v>
      </c>
      <c r="F288">
        <v>16900</v>
      </c>
      <c r="G288">
        <v>16900</v>
      </c>
      <c r="H288">
        <v>1</v>
      </c>
      <c r="I288">
        <f t="shared" si="44"/>
        <v>0</v>
      </c>
      <c r="J288">
        <v>0.42</v>
      </c>
      <c r="K288">
        <f t="shared" si="45"/>
        <v>7098</v>
      </c>
      <c r="L288" t="s">
        <v>37</v>
      </c>
      <c r="N288">
        <f t="shared" si="46"/>
        <v>2111.2291200000004</v>
      </c>
      <c r="O288">
        <f t="shared" si="47"/>
        <v>0.14775290342113212</v>
      </c>
      <c r="P288" t="s">
        <v>39</v>
      </c>
      <c r="Q288">
        <f t="shared" si="48"/>
        <v>0.65147928994082838</v>
      </c>
      <c r="R288">
        <f t="shared" si="49"/>
        <v>11010</v>
      </c>
      <c r="S288">
        <f t="shared" si="50"/>
        <v>11010</v>
      </c>
      <c r="T288">
        <v>11010</v>
      </c>
      <c r="U288">
        <f t="shared" si="51"/>
        <v>0</v>
      </c>
      <c r="V288">
        <v>1</v>
      </c>
      <c r="W288">
        <v>0.22500000000000001</v>
      </c>
      <c r="X288">
        <f t="shared" si="52"/>
        <v>2477.25</v>
      </c>
      <c r="Y288">
        <f t="shared" si="53"/>
        <v>2477.25</v>
      </c>
      <c r="Z288">
        <f t="shared" si="54"/>
        <v>0</v>
      </c>
      <c r="AB288" t="s">
        <v>40</v>
      </c>
    </row>
    <row r="289" spans="1:31" x14ac:dyDescent="0.25">
      <c r="A289" t="s">
        <v>329</v>
      </c>
      <c r="B289" t="s">
        <v>336</v>
      </c>
      <c r="D289" t="s">
        <v>337</v>
      </c>
      <c r="E289" t="s">
        <v>36</v>
      </c>
      <c r="F289">
        <v>16900</v>
      </c>
      <c r="G289">
        <v>16900</v>
      </c>
      <c r="H289">
        <v>1</v>
      </c>
      <c r="I289">
        <f t="shared" si="44"/>
        <v>0</v>
      </c>
      <c r="J289">
        <v>0.42</v>
      </c>
      <c r="K289">
        <f t="shared" si="45"/>
        <v>7098</v>
      </c>
      <c r="L289" t="s">
        <v>37</v>
      </c>
      <c r="N289">
        <f t="shared" si="46"/>
        <v>2111.2291200000004</v>
      </c>
      <c r="O289">
        <f t="shared" si="47"/>
        <v>0.14775290342113212</v>
      </c>
      <c r="P289" t="s">
        <v>39</v>
      </c>
      <c r="Q289">
        <f t="shared" si="48"/>
        <v>0.65147928994082838</v>
      </c>
      <c r="R289">
        <f t="shared" si="49"/>
        <v>11010</v>
      </c>
      <c r="S289">
        <f t="shared" si="50"/>
        <v>11010</v>
      </c>
      <c r="T289">
        <v>11010</v>
      </c>
      <c r="U289">
        <f t="shared" si="51"/>
        <v>0</v>
      </c>
      <c r="V289">
        <v>1</v>
      </c>
      <c r="W289">
        <v>0.22500000000000001</v>
      </c>
      <c r="X289">
        <f t="shared" si="52"/>
        <v>2477.25</v>
      </c>
      <c r="Y289">
        <f t="shared" si="53"/>
        <v>2477.25</v>
      </c>
      <c r="Z289">
        <f t="shared" si="54"/>
        <v>0</v>
      </c>
      <c r="AB289" t="s">
        <v>40</v>
      </c>
    </row>
    <row r="290" spans="1:31" x14ac:dyDescent="0.25">
      <c r="D290" t="s">
        <v>416</v>
      </c>
      <c r="E290" t="s">
        <v>417</v>
      </c>
      <c r="F290">
        <v>5.0999999999999996</v>
      </c>
      <c r="G290">
        <v>5.0999999999999996</v>
      </c>
      <c r="H290">
        <v>1</v>
      </c>
      <c r="I290">
        <f t="shared" ref="I290:I348" si="55">(G290-F290)/F290</f>
        <v>0</v>
      </c>
      <c r="J290">
        <v>1</v>
      </c>
      <c r="K290">
        <f t="shared" ref="K290:K348" si="56">F290*H290*J290</f>
        <v>5.0999999999999996</v>
      </c>
      <c r="L290" t="s">
        <v>418</v>
      </c>
      <c r="N290">
        <f t="shared" ref="N290:N321" si="57">K290*$N$3*$O$3</f>
        <v>226.14134399999998</v>
      </c>
      <c r="O290">
        <f t="shared" ref="O290:O348" si="58">(X290-N290)/X290</f>
        <v>0.57721193738197141</v>
      </c>
      <c r="P290" t="s">
        <v>39</v>
      </c>
      <c r="Q290">
        <f t="shared" ref="Q290:Q348" si="59">T290/F290</f>
        <v>4.5098039215686274</v>
      </c>
      <c r="R290">
        <f t="shared" ref="R290:R348" si="60">F290*Q290</f>
        <v>22.999999999999996</v>
      </c>
      <c r="S290">
        <f t="shared" ref="S290:S348" si="61">G290*Q290</f>
        <v>22.999999999999996</v>
      </c>
      <c r="T290">
        <v>23</v>
      </c>
      <c r="U290">
        <f t="shared" ref="U290:U348" si="62">(T290-R290)/R290</f>
        <v>1.5446581212176093E-16</v>
      </c>
      <c r="V290">
        <v>0.67</v>
      </c>
      <c r="W290">
        <v>34.71</v>
      </c>
      <c r="X290">
        <f t="shared" ref="X290:X348" si="63">R290*V290*W290</f>
        <v>534.88109999999995</v>
      </c>
      <c r="Y290">
        <f t="shared" ref="Y290:Y348" si="64">S290*W290*V290</f>
        <v>534.88109999999995</v>
      </c>
      <c r="Z290">
        <f t="shared" ref="Z290:Z348" si="65">(Y290-X290)/X290</f>
        <v>0</v>
      </c>
      <c r="AB290" t="s">
        <v>419</v>
      </c>
      <c r="AE290" t="s">
        <v>420</v>
      </c>
    </row>
    <row r="291" spans="1:31" x14ac:dyDescent="0.25">
      <c r="D291" t="s">
        <v>421</v>
      </c>
      <c r="E291" t="s">
        <v>417</v>
      </c>
      <c r="F291">
        <v>5.16</v>
      </c>
      <c r="G291">
        <v>5.16</v>
      </c>
      <c r="H291">
        <v>1</v>
      </c>
      <c r="I291">
        <f t="shared" si="55"/>
        <v>0</v>
      </c>
      <c r="J291">
        <v>1</v>
      </c>
      <c r="K291">
        <f t="shared" si="56"/>
        <v>5.16</v>
      </c>
      <c r="L291" t="s">
        <v>418</v>
      </c>
      <c r="N291">
        <f t="shared" si="57"/>
        <v>228.8018304</v>
      </c>
      <c r="O291">
        <f t="shared" si="58"/>
        <v>0.60645892336072449</v>
      </c>
      <c r="P291" t="s">
        <v>39</v>
      </c>
      <c r="Q291">
        <f t="shared" si="59"/>
        <v>4.8449612403100772</v>
      </c>
      <c r="R291">
        <f t="shared" si="60"/>
        <v>25</v>
      </c>
      <c r="S291">
        <f t="shared" si="61"/>
        <v>25</v>
      </c>
      <c r="T291">
        <v>25</v>
      </c>
      <c r="U291">
        <f t="shared" si="62"/>
        <v>0</v>
      </c>
      <c r="V291">
        <v>0.67</v>
      </c>
      <c r="W291">
        <v>34.71</v>
      </c>
      <c r="X291">
        <f t="shared" si="63"/>
        <v>581.39250000000004</v>
      </c>
      <c r="Y291">
        <f t="shared" si="64"/>
        <v>581.39250000000004</v>
      </c>
      <c r="Z291">
        <f t="shared" si="65"/>
        <v>0</v>
      </c>
      <c r="AB291" t="s">
        <v>419</v>
      </c>
      <c r="AE291" t="s">
        <v>420</v>
      </c>
    </row>
    <row r="292" spans="1:31" x14ac:dyDescent="0.25">
      <c r="D292" t="s">
        <v>422</v>
      </c>
      <c r="E292" t="s">
        <v>417</v>
      </c>
      <c r="F292">
        <v>5.16</v>
      </c>
      <c r="G292">
        <v>5.16</v>
      </c>
      <c r="H292">
        <v>1</v>
      </c>
      <c r="I292">
        <f t="shared" si="55"/>
        <v>0</v>
      </c>
      <c r="J292">
        <v>1</v>
      </c>
      <c r="K292">
        <f t="shared" si="56"/>
        <v>5.16</v>
      </c>
      <c r="L292" t="s">
        <v>418</v>
      </c>
      <c r="N292">
        <f t="shared" si="57"/>
        <v>228.8018304</v>
      </c>
      <c r="O292">
        <f t="shared" si="58"/>
        <v>0.6215951186160813</v>
      </c>
      <c r="P292" t="s">
        <v>39</v>
      </c>
      <c r="Q292">
        <f t="shared" si="59"/>
        <v>5.0387596899224807</v>
      </c>
      <c r="R292">
        <f t="shared" si="60"/>
        <v>26</v>
      </c>
      <c r="S292">
        <f t="shared" si="61"/>
        <v>26</v>
      </c>
      <c r="T292">
        <v>26</v>
      </c>
      <c r="U292">
        <f t="shared" si="62"/>
        <v>0</v>
      </c>
      <c r="V292">
        <v>0.67</v>
      </c>
      <c r="W292">
        <v>34.71</v>
      </c>
      <c r="X292">
        <f t="shared" si="63"/>
        <v>604.64820000000009</v>
      </c>
      <c r="Y292">
        <f t="shared" si="64"/>
        <v>604.64820000000009</v>
      </c>
      <c r="Z292">
        <f t="shared" si="65"/>
        <v>0</v>
      </c>
      <c r="AB292" t="s">
        <v>419</v>
      </c>
      <c r="AE292" t="s">
        <v>420</v>
      </c>
    </row>
    <row r="293" spans="1:31" x14ac:dyDescent="0.25">
      <c r="D293" t="s">
        <v>423</v>
      </c>
      <c r="E293" t="s">
        <v>417</v>
      </c>
      <c r="F293">
        <v>5.3</v>
      </c>
      <c r="G293">
        <v>5.3</v>
      </c>
      <c r="H293">
        <v>1</v>
      </c>
      <c r="I293">
        <f t="shared" si="55"/>
        <v>0</v>
      </c>
      <c r="J293">
        <v>1</v>
      </c>
      <c r="K293">
        <f t="shared" si="56"/>
        <v>5.3</v>
      </c>
      <c r="L293" t="s">
        <v>418</v>
      </c>
      <c r="N293">
        <f t="shared" si="57"/>
        <v>235.00963199999998</v>
      </c>
      <c r="O293">
        <f t="shared" si="58"/>
        <v>0.62572356693436681</v>
      </c>
      <c r="P293" t="s">
        <v>39</v>
      </c>
      <c r="Q293">
        <f t="shared" si="59"/>
        <v>5.0943396226415096</v>
      </c>
      <c r="R293">
        <f t="shared" si="60"/>
        <v>27</v>
      </c>
      <c r="S293">
        <f t="shared" si="61"/>
        <v>27</v>
      </c>
      <c r="T293">
        <v>27</v>
      </c>
      <c r="U293">
        <f t="shared" si="62"/>
        <v>0</v>
      </c>
      <c r="V293">
        <v>0.67</v>
      </c>
      <c r="W293">
        <v>34.71</v>
      </c>
      <c r="X293">
        <f t="shared" si="63"/>
        <v>627.90390000000002</v>
      </c>
      <c r="Y293">
        <f t="shared" si="64"/>
        <v>627.90390000000014</v>
      </c>
      <c r="Z293">
        <f t="shared" si="65"/>
        <v>1.8105770281346561E-16</v>
      </c>
      <c r="AB293" t="s">
        <v>419</v>
      </c>
      <c r="AE293" t="s">
        <v>420</v>
      </c>
    </row>
    <row r="294" spans="1:31" x14ac:dyDescent="0.25">
      <c r="D294" t="s">
        <v>424</v>
      </c>
      <c r="E294" t="s">
        <v>417</v>
      </c>
      <c r="F294">
        <v>5.5</v>
      </c>
      <c r="G294">
        <v>5.5</v>
      </c>
      <c r="H294">
        <v>1</v>
      </c>
      <c r="I294">
        <f t="shared" si="55"/>
        <v>0</v>
      </c>
      <c r="J294">
        <v>1</v>
      </c>
      <c r="K294">
        <f t="shared" si="56"/>
        <v>5.5</v>
      </c>
      <c r="L294" t="s">
        <v>418</v>
      </c>
      <c r="N294">
        <f t="shared" si="57"/>
        <v>243.87791999999999</v>
      </c>
      <c r="O294">
        <f t="shared" si="58"/>
        <v>0.62547135909537388</v>
      </c>
      <c r="P294" t="s">
        <v>39</v>
      </c>
      <c r="Q294">
        <f t="shared" si="59"/>
        <v>5.0909090909090908</v>
      </c>
      <c r="R294">
        <f t="shared" si="60"/>
        <v>28</v>
      </c>
      <c r="S294">
        <f t="shared" si="61"/>
        <v>28</v>
      </c>
      <c r="T294">
        <v>28</v>
      </c>
      <c r="U294">
        <f t="shared" si="62"/>
        <v>0</v>
      </c>
      <c r="V294">
        <v>0.67</v>
      </c>
      <c r="W294">
        <v>34.71</v>
      </c>
      <c r="X294">
        <f t="shared" si="63"/>
        <v>651.15960000000007</v>
      </c>
      <c r="Y294">
        <f t="shared" si="64"/>
        <v>651.15960000000007</v>
      </c>
      <c r="Z294">
        <f t="shared" si="65"/>
        <v>0</v>
      </c>
      <c r="AB294" t="s">
        <v>419</v>
      </c>
      <c r="AE294" t="s">
        <v>420</v>
      </c>
    </row>
    <row r="295" spans="1:31" x14ac:dyDescent="0.25">
      <c r="D295" t="s">
        <v>425</v>
      </c>
      <c r="E295" t="s">
        <v>417</v>
      </c>
      <c r="F295">
        <v>5.58</v>
      </c>
      <c r="G295">
        <v>5.58</v>
      </c>
      <c r="H295">
        <v>1</v>
      </c>
      <c r="I295">
        <f t="shared" si="55"/>
        <v>0</v>
      </c>
      <c r="J295">
        <v>1</v>
      </c>
      <c r="K295">
        <f t="shared" si="56"/>
        <v>5.58</v>
      </c>
      <c r="L295" t="s">
        <v>418</v>
      </c>
      <c r="N295">
        <f t="shared" si="57"/>
        <v>247.42523519999997</v>
      </c>
      <c r="O295">
        <f t="shared" si="58"/>
        <v>0.62002366977312484</v>
      </c>
      <c r="P295" t="s">
        <v>39</v>
      </c>
      <c r="Q295">
        <f t="shared" si="59"/>
        <v>5.0179211469534053</v>
      </c>
      <c r="R295">
        <f t="shared" si="60"/>
        <v>28.000000000000004</v>
      </c>
      <c r="S295">
        <f t="shared" si="61"/>
        <v>28.000000000000004</v>
      </c>
      <c r="T295">
        <v>28</v>
      </c>
      <c r="U295">
        <f t="shared" si="62"/>
        <v>-1.2688263138573217E-16</v>
      </c>
      <c r="V295">
        <v>0.67</v>
      </c>
      <c r="W295">
        <v>34.71</v>
      </c>
      <c r="X295">
        <f t="shared" si="63"/>
        <v>651.15960000000018</v>
      </c>
      <c r="Y295">
        <f t="shared" si="64"/>
        <v>651.15960000000007</v>
      </c>
      <c r="Z295">
        <f t="shared" si="65"/>
        <v>-1.7459135628441321E-16</v>
      </c>
      <c r="AB295" t="s">
        <v>419</v>
      </c>
      <c r="AE295" t="s">
        <v>420</v>
      </c>
    </row>
    <row r="296" spans="1:31" x14ac:dyDescent="0.25">
      <c r="D296" t="s">
        <v>426</v>
      </c>
      <c r="E296" t="s">
        <v>417</v>
      </c>
      <c r="F296">
        <v>5.76</v>
      </c>
      <c r="G296">
        <v>5.76</v>
      </c>
      <c r="H296">
        <v>1</v>
      </c>
      <c r="I296">
        <f t="shared" si="55"/>
        <v>0</v>
      </c>
      <c r="J296">
        <v>1</v>
      </c>
      <c r="K296">
        <f t="shared" si="56"/>
        <v>5.76</v>
      </c>
      <c r="L296" t="s">
        <v>418</v>
      </c>
      <c r="N296">
        <f t="shared" si="57"/>
        <v>255.40669439999999</v>
      </c>
      <c r="O296">
        <f t="shared" si="58"/>
        <v>0.60776636879806434</v>
      </c>
      <c r="P296" t="s">
        <v>39</v>
      </c>
      <c r="Q296">
        <f t="shared" si="59"/>
        <v>4.8611111111111116</v>
      </c>
      <c r="R296">
        <f t="shared" si="60"/>
        <v>28.000000000000004</v>
      </c>
      <c r="S296">
        <f t="shared" si="61"/>
        <v>28.000000000000004</v>
      </c>
      <c r="T296">
        <v>28</v>
      </c>
      <c r="U296">
        <f t="shared" si="62"/>
        <v>-1.2688263138573217E-16</v>
      </c>
      <c r="V296">
        <v>0.67</v>
      </c>
      <c r="W296">
        <v>34.71</v>
      </c>
      <c r="X296">
        <f t="shared" si="63"/>
        <v>651.15960000000018</v>
      </c>
      <c r="Y296">
        <f t="shared" si="64"/>
        <v>651.15960000000007</v>
      </c>
      <c r="Z296">
        <f t="shared" si="65"/>
        <v>-1.7459135628441321E-16</v>
      </c>
      <c r="AB296" t="s">
        <v>419</v>
      </c>
      <c r="AE296" t="s">
        <v>420</v>
      </c>
    </row>
    <row r="297" spans="1:31" x14ac:dyDescent="0.25">
      <c r="D297" t="s">
        <v>427</v>
      </c>
      <c r="E297" t="s">
        <v>417</v>
      </c>
      <c r="F297">
        <v>5.79</v>
      </c>
      <c r="G297">
        <v>5.79</v>
      </c>
      <c r="H297">
        <v>1</v>
      </c>
      <c r="I297">
        <f t="shared" si="55"/>
        <v>0</v>
      </c>
      <c r="J297">
        <v>1</v>
      </c>
      <c r="K297">
        <f t="shared" si="56"/>
        <v>5.79</v>
      </c>
      <c r="L297" t="s">
        <v>418</v>
      </c>
      <c r="N297">
        <f t="shared" si="57"/>
        <v>256.73693759999998</v>
      </c>
      <c r="O297">
        <f t="shared" si="58"/>
        <v>0.60572348530222087</v>
      </c>
      <c r="P297" t="s">
        <v>39</v>
      </c>
      <c r="Q297">
        <f t="shared" si="59"/>
        <v>4.8359240069084626</v>
      </c>
      <c r="R297">
        <f t="shared" si="60"/>
        <v>28</v>
      </c>
      <c r="S297">
        <f t="shared" si="61"/>
        <v>28</v>
      </c>
      <c r="T297">
        <v>28</v>
      </c>
      <c r="U297">
        <f t="shared" si="62"/>
        <v>0</v>
      </c>
      <c r="V297">
        <v>0.67</v>
      </c>
      <c r="W297">
        <v>34.71</v>
      </c>
      <c r="X297">
        <f t="shared" si="63"/>
        <v>651.15960000000007</v>
      </c>
      <c r="Y297">
        <f t="shared" si="64"/>
        <v>651.15960000000007</v>
      </c>
      <c r="Z297">
        <f t="shared" si="65"/>
        <v>0</v>
      </c>
      <c r="AB297" t="s">
        <v>419</v>
      </c>
      <c r="AE297" t="s">
        <v>420</v>
      </c>
    </row>
    <row r="298" spans="1:31" x14ac:dyDescent="0.25">
      <c r="D298" t="s">
        <v>428</v>
      </c>
      <c r="E298" t="s">
        <v>417</v>
      </c>
      <c r="F298">
        <v>5.88</v>
      </c>
      <c r="G298">
        <v>5.88</v>
      </c>
      <c r="H298">
        <v>1</v>
      </c>
      <c r="I298">
        <f t="shared" si="55"/>
        <v>0</v>
      </c>
      <c r="J298">
        <v>1</v>
      </c>
      <c r="K298">
        <f t="shared" si="56"/>
        <v>5.88</v>
      </c>
      <c r="L298" t="s">
        <v>418</v>
      </c>
      <c r="N298">
        <f t="shared" si="57"/>
        <v>260.72766719999998</v>
      </c>
      <c r="O298">
        <f t="shared" si="58"/>
        <v>0.59959483481469067</v>
      </c>
      <c r="P298" t="s">
        <v>39</v>
      </c>
      <c r="Q298">
        <f t="shared" si="59"/>
        <v>4.7619047619047619</v>
      </c>
      <c r="R298">
        <f t="shared" si="60"/>
        <v>28</v>
      </c>
      <c r="S298">
        <f t="shared" si="61"/>
        <v>28</v>
      </c>
      <c r="T298">
        <v>28</v>
      </c>
      <c r="U298">
        <f t="shared" si="62"/>
        <v>0</v>
      </c>
      <c r="V298">
        <v>0.67</v>
      </c>
      <c r="W298">
        <v>34.71</v>
      </c>
      <c r="X298">
        <f t="shared" si="63"/>
        <v>651.15960000000007</v>
      </c>
      <c r="Y298">
        <f t="shared" si="64"/>
        <v>651.15960000000007</v>
      </c>
      <c r="Z298">
        <f t="shared" si="65"/>
        <v>0</v>
      </c>
      <c r="AB298" t="s">
        <v>419</v>
      </c>
      <c r="AE298" t="s">
        <v>420</v>
      </c>
    </row>
    <row r="299" spans="1:31" x14ac:dyDescent="0.25">
      <c r="D299" t="s">
        <v>429</v>
      </c>
      <c r="E299" t="s">
        <v>417</v>
      </c>
      <c r="F299">
        <v>5.71</v>
      </c>
      <c r="G299">
        <v>5.71</v>
      </c>
      <c r="H299">
        <v>1</v>
      </c>
      <c r="I299">
        <f t="shared" si="55"/>
        <v>0</v>
      </c>
      <c r="J299">
        <v>1</v>
      </c>
      <c r="K299">
        <f t="shared" si="56"/>
        <v>5.71</v>
      </c>
      <c r="L299" t="s">
        <v>418</v>
      </c>
      <c r="N299">
        <f t="shared" si="57"/>
        <v>253.18962239999999</v>
      </c>
      <c r="O299">
        <f t="shared" si="58"/>
        <v>0.63709309631617206</v>
      </c>
      <c r="P299" t="s">
        <v>39</v>
      </c>
      <c r="Q299">
        <f t="shared" si="59"/>
        <v>5.2539404553415059</v>
      </c>
      <c r="R299">
        <f t="shared" si="60"/>
        <v>30</v>
      </c>
      <c r="S299">
        <f t="shared" si="61"/>
        <v>30</v>
      </c>
      <c r="T299">
        <v>30</v>
      </c>
      <c r="U299">
        <f t="shared" si="62"/>
        <v>0</v>
      </c>
      <c r="V299">
        <v>0.67</v>
      </c>
      <c r="W299">
        <v>34.71</v>
      </c>
      <c r="X299">
        <f t="shared" si="63"/>
        <v>697.67100000000005</v>
      </c>
      <c r="Y299">
        <f t="shared" si="64"/>
        <v>697.67100000000005</v>
      </c>
      <c r="Z299">
        <f t="shared" si="65"/>
        <v>0</v>
      </c>
      <c r="AB299" t="s">
        <v>419</v>
      </c>
      <c r="AE299" t="s">
        <v>420</v>
      </c>
    </row>
    <row r="300" spans="1:31" x14ac:dyDescent="0.25">
      <c r="D300" t="s">
        <v>430</v>
      </c>
      <c r="E300" t="s">
        <v>417</v>
      </c>
      <c r="F300">
        <v>6.12</v>
      </c>
      <c r="G300">
        <v>6.12</v>
      </c>
      <c r="H300">
        <v>1</v>
      </c>
      <c r="I300">
        <f t="shared" si="55"/>
        <v>0</v>
      </c>
      <c r="J300">
        <v>1</v>
      </c>
      <c r="K300">
        <f t="shared" si="56"/>
        <v>6.12</v>
      </c>
      <c r="L300" t="s">
        <v>418</v>
      </c>
      <c r="N300">
        <f t="shared" si="57"/>
        <v>271.36961279999997</v>
      </c>
      <c r="O300">
        <f t="shared" si="58"/>
        <v>0.61103498239141385</v>
      </c>
      <c r="P300" t="s">
        <v>39</v>
      </c>
      <c r="Q300">
        <f t="shared" si="59"/>
        <v>4.9019607843137258</v>
      </c>
      <c r="R300">
        <f t="shared" si="60"/>
        <v>30.000000000000004</v>
      </c>
      <c r="S300">
        <f t="shared" si="61"/>
        <v>30.000000000000004</v>
      </c>
      <c r="T300">
        <v>30</v>
      </c>
      <c r="U300">
        <f t="shared" si="62"/>
        <v>-1.1842378929335E-16</v>
      </c>
      <c r="V300">
        <v>0.67</v>
      </c>
      <c r="W300">
        <v>34.71</v>
      </c>
      <c r="X300">
        <f t="shared" si="63"/>
        <v>697.67100000000016</v>
      </c>
      <c r="Y300">
        <f t="shared" si="64"/>
        <v>697.67100000000016</v>
      </c>
      <c r="Z300">
        <f t="shared" si="65"/>
        <v>0</v>
      </c>
      <c r="AB300" t="s">
        <v>419</v>
      </c>
      <c r="AE300" t="s">
        <v>420</v>
      </c>
    </row>
    <row r="301" spans="1:31" x14ac:dyDescent="0.25">
      <c r="D301" t="s">
        <v>431</v>
      </c>
      <c r="E301" t="s">
        <v>417</v>
      </c>
      <c r="F301">
        <v>6.29</v>
      </c>
      <c r="G301">
        <v>6.29</v>
      </c>
      <c r="H301">
        <v>1</v>
      </c>
      <c r="I301">
        <f t="shared" si="55"/>
        <v>0</v>
      </c>
      <c r="J301">
        <v>1</v>
      </c>
      <c r="K301">
        <f t="shared" si="56"/>
        <v>6.29</v>
      </c>
      <c r="L301" t="s">
        <v>418</v>
      </c>
      <c r="N301">
        <f t="shared" si="57"/>
        <v>278.90765759999999</v>
      </c>
      <c r="O301">
        <f t="shared" si="58"/>
        <v>0.61312619216350284</v>
      </c>
      <c r="P301" t="s">
        <v>39</v>
      </c>
      <c r="Q301">
        <f t="shared" si="59"/>
        <v>4.9284578696343404</v>
      </c>
      <c r="R301">
        <f t="shared" si="60"/>
        <v>31</v>
      </c>
      <c r="S301">
        <f t="shared" si="61"/>
        <v>31</v>
      </c>
      <c r="T301">
        <v>31</v>
      </c>
      <c r="U301">
        <f t="shared" si="62"/>
        <v>0</v>
      </c>
      <c r="V301">
        <v>0.67</v>
      </c>
      <c r="W301">
        <v>34.71</v>
      </c>
      <c r="X301">
        <f t="shared" si="63"/>
        <v>720.92669999999998</v>
      </c>
      <c r="Y301">
        <f t="shared" si="64"/>
        <v>720.92669999999998</v>
      </c>
      <c r="Z301">
        <f t="shared" si="65"/>
        <v>0</v>
      </c>
      <c r="AB301" t="s">
        <v>419</v>
      </c>
      <c r="AE301" t="s">
        <v>420</v>
      </c>
    </row>
    <row r="302" spans="1:31" x14ac:dyDescent="0.25">
      <c r="D302" t="s">
        <v>432</v>
      </c>
      <c r="E302" t="s">
        <v>417</v>
      </c>
      <c r="F302">
        <v>6.34</v>
      </c>
      <c r="G302">
        <v>6.34</v>
      </c>
      <c r="H302">
        <v>1</v>
      </c>
      <c r="I302">
        <f t="shared" si="55"/>
        <v>0</v>
      </c>
      <c r="J302">
        <v>1</v>
      </c>
      <c r="K302">
        <f t="shared" si="56"/>
        <v>6.34</v>
      </c>
      <c r="L302" t="s">
        <v>418</v>
      </c>
      <c r="N302">
        <f t="shared" si="57"/>
        <v>281.12472959999997</v>
      </c>
      <c r="O302">
        <f t="shared" si="58"/>
        <v>0.61005088367513649</v>
      </c>
      <c r="P302" t="s">
        <v>39</v>
      </c>
      <c r="Q302">
        <f t="shared" si="59"/>
        <v>4.8895899053627758</v>
      </c>
      <c r="R302">
        <f t="shared" si="60"/>
        <v>30.999999999999996</v>
      </c>
      <c r="S302">
        <f t="shared" si="61"/>
        <v>30.999999999999996</v>
      </c>
      <c r="T302">
        <v>31</v>
      </c>
      <c r="U302">
        <f t="shared" si="62"/>
        <v>1.146036670580807E-16</v>
      </c>
      <c r="V302">
        <v>0.67</v>
      </c>
      <c r="W302">
        <v>34.71</v>
      </c>
      <c r="X302">
        <f t="shared" si="63"/>
        <v>720.92669999999998</v>
      </c>
      <c r="Y302">
        <f t="shared" si="64"/>
        <v>720.92669999999998</v>
      </c>
      <c r="Z302">
        <f t="shared" si="65"/>
        <v>0</v>
      </c>
      <c r="AB302" t="s">
        <v>419</v>
      </c>
      <c r="AE302" t="s">
        <v>420</v>
      </c>
    </row>
    <row r="303" spans="1:31" x14ac:dyDescent="0.25">
      <c r="D303" t="s">
        <v>433</v>
      </c>
      <c r="E303" t="s">
        <v>417</v>
      </c>
      <c r="F303">
        <v>6.82</v>
      </c>
      <c r="G303">
        <v>6.82</v>
      </c>
      <c r="H303">
        <v>1</v>
      </c>
      <c r="I303">
        <f t="shared" si="55"/>
        <v>0</v>
      </c>
      <c r="J303">
        <v>1</v>
      </c>
      <c r="K303">
        <f t="shared" si="56"/>
        <v>6.82</v>
      </c>
      <c r="L303" t="s">
        <v>418</v>
      </c>
      <c r="N303">
        <f t="shared" si="57"/>
        <v>302.40862079999999</v>
      </c>
      <c r="O303">
        <f t="shared" si="58"/>
        <v>0.5805279221868187</v>
      </c>
      <c r="P303" t="s">
        <v>39</v>
      </c>
      <c r="Q303">
        <f t="shared" si="59"/>
        <v>4.545454545454545</v>
      </c>
      <c r="R303">
        <f t="shared" si="60"/>
        <v>30.999999999999996</v>
      </c>
      <c r="S303">
        <f t="shared" si="61"/>
        <v>30.999999999999996</v>
      </c>
      <c r="T303">
        <v>31</v>
      </c>
      <c r="U303">
        <f t="shared" si="62"/>
        <v>1.146036670580807E-16</v>
      </c>
      <c r="V303">
        <v>0.67</v>
      </c>
      <c r="W303">
        <v>34.71</v>
      </c>
      <c r="X303">
        <f t="shared" si="63"/>
        <v>720.92669999999998</v>
      </c>
      <c r="Y303">
        <f t="shared" si="64"/>
        <v>720.92669999999998</v>
      </c>
      <c r="Z303">
        <f t="shared" si="65"/>
        <v>0</v>
      </c>
      <c r="AB303" t="s">
        <v>419</v>
      </c>
      <c r="AE303" t="s">
        <v>420</v>
      </c>
    </row>
    <row r="304" spans="1:31" x14ac:dyDescent="0.25">
      <c r="D304" t="s">
        <v>434</v>
      </c>
      <c r="E304" t="s">
        <v>417</v>
      </c>
      <c r="F304">
        <v>7.25</v>
      </c>
      <c r="G304">
        <v>7.25</v>
      </c>
      <c r="H304">
        <v>1</v>
      </c>
      <c r="I304">
        <f t="shared" si="55"/>
        <v>0</v>
      </c>
      <c r="J304">
        <v>1</v>
      </c>
      <c r="K304">
        <f t="shared" si="56"/>
        <v>7.25</v>
      </c>
      <c r="L304" t="s">
        <v>418</v>
      </c>
      <c r="N304">
        <f t="shared" si="57"/>
        <v>321.47543999999999</v>
      </c>
      <c r="O304">
        <f t="shared" si="58"/>
        <v>0.56801526077477782</v>
      </c>
      <c r="P304" t="s">
        <v>39</v>
      </c>
      <c r="Q304">
        <f t="shared" si="59"/>
        <v>4.4137931034482758</v>
      </c>
      <c r="R304">
        <f t="shared" si="60"/>
        <v>32</v>
      </c>
      <c r="S304">
        <f t="shared" si="61"/>
        <v>32</v>
      </c>
      <c r="T304">
        <v>32</v>
      </c>
      <c r="U304">
        <f t="shared" si="62"/>
        <v>0</v>
      </c>
      <c r="V304">
        <v>0.67</v>
      </c>
      <c r="W304">
        <v>34.71</v>
      </c>
      <c r="X304">
        <f t="shared" si="63"/>
        <v>744.18240000000003</v>
      </c>
      <c r="Y304">
        <f t="shared" si="64"/>
        <v>744.18240000000003</v>
      </c>
      <c r="Z304">
        <f t="shared" si="65"/>
        <v>0</v>
      </c>
      <c r="AB304" t="s">
        <v>419</v>
      </c>
      <c r="AE304" t="s">
        <v>420</v>
      </c>
    </row>
    <row r="305" spans="4:31" x14ac:dyDescent="0.25">
      <c r="D305" t="s">
        <v>435</v>
      </c>
      <c r="E305" t="s">
        <v>417</v>
      </c>
      <c r="F305">
        <v>7.8</v>
      </c>
      <c r="G305">
        <v>7.8</v>
      </c>
      <c r="H305">
        <v>1</v>
      </c>
      <c r="I305">
        <f t="shared" si="55"/>
        <v>0</v>
      </c>
      <c r="J305">
        <v>1</v>
      </c>
      <c r="K305">
        <f t="shared" si="56"/>
        <v>7.8</v>
      </c>
      <c r="L305" t="s">
        <v>418</v>
      </c>
      <c r="N305">
        <f t="shared" si="57"/>
        <v>345.86323199999998</v>
      </c>
      <c r="O305">
        <f t="shared" si="58"/>
        <v>0.54932751970484661</v>
      </c>
      <c r="P305" t="s">
        <v>39</v>
      </c>
      <c r="Q305">
        <f t="shared" si="59"/>
        <v>4.2307692307692308</v>
      </c>
      <c r="R305">
        <f t="shared" si="60"/>
        <v>33</v>
      </c>
      <c r="S305">
        <f t="shared" si="61"/>
        <v>33</v>
      </c>
      <c r="T305">
        <v>33</v>
      </c>
      <c r="U305">
        <f t="shared" si="62"/>
        <v>0</v>
      </c>
      <c r="V305">
        <v>0.67</v>
      </c>
      <c r="W305">
        <v>34.71</v>
      </c>
      <c r="X305">
        <f t="shared" si="63"/>
        <v>767.43810000000008</v>
      </c>
      <c r="Y305">
        <f t="shared" si="64"/>
        <v>767.43810000000008</v>
      </c>
      <c r="Z305">
        <f t="shared" si="65"/>
        <v>0</v>
      </c>
      <c r="AB305" t="s">
        <v>419</v>
      </c>
      <c r="AE305" t="s">
        <v>420</v>
      </c>
    </row>
    <row r="306" spans="4:31" x14ac:dyDescent="0.25">
      <c r="D306" t="s">
        <v>436</v>
      </c>
      <c r="E306" t="s">
        <v>417</v>
      </c>
      <c r="F306">
        <v>7.99</v>
      </c>
      <c r="G306">
        <v>7.99</v>
      </c>
      <c r="H306">
        <v>1</v>
      </c>
      <c r="I306">
        <f t="shared" si="55"/>
        <v>0</v>
      </c>
      <c r="J306">
        <v>1</v>
      </c>
      <c r="K306">
        <f t="shared" si="56"/>
        <v>7.99</v>
      </c>
      <c r="L306" t="s">
        <v>418</v>
      </c>
      <c r="N306">
        <f t="shared" si="57"/>
        <v>354.28810559999999</v>
      </c>
      <c r="O306">
        <f t="shared" si="58"/>
        <v>0.55192755324501086</v>
      </c>
      <c r="P306" t="s">
        <v>39</v>
      </c>
      <c r="Q306">
        <f t="shared" si="59"/>
        <v>4.2553191489361701</v>
      </c>
      <c r="R306">
        <f t="shared" si="60"/>
        <v>34</v>
      </c>
      <c r="S306">
        <f t="shared" si="61"/>
        <v>34</v>
      </c>
      <c r="T306">
        <v>34</v>
      </c>
      <c r="U306">
        <f t="shared" si="62"/>
        <v>0</v>
      </c>
      <c r="V306">
        <v>0.67</v>
      </c>
      <c r="W306">
        <v>34.71</v>
      </c>
      <c r="X306">
        <f t="shared" si="63"/>
        <v>790.69380000000001</v>
      </c>
      <c r="Y306">
        <f t="shared" si="64"/>
        <v>790.69380000000012</v>
      </c>
      <c r="Z306">
        <f t="shared" si="65"/>
        <v>1.4378111694010505E-16</v>
      </c>
      <c r="AB306" t="s">
        <v>419</v>
      </c>
      <c r="AE306" t="s">
        <v>420</v>
      </c>
    </row>
    <row r="307" spans="4:31" x14ac:dyDescent="0.25">
      <c r="D307" t="s">
        <v>437</v>
      </c>
      <c r="E307" t="s">
        <v>417</v>
      </c>
      <c r="F307">
        <v>9.65</v>
      </c>
      <c r="G307">
        <v>9.65</v>
      </c>
      <c r="H307">
        <v>1</v>
      </c>
      <c r="I307">
        <f t="shared" si="55"/>
        <v>0</v>
      </c>
      <c r="J307">
        <v>1</v>
      </c>
      <c r="K307">
        <f t="shared" si="56"/>
        <v>9.65</v>
      </c>
      <c r="L307" t="s">
        <v>418</v>
      </c>
      <c r="N307">
        <f t="shared" si="57"/>
        <v>427.89489599999996</v>
      </c>
      <c r="O307">
        <f t="shared" si="58"/>
        <v>0.48890081428065674</v>
      </c>
      <c r="P307" t="s">
        <v>39</v>
      </c>
      <c r="Q307">
        <f t="shared" si="59"/>
        <v>3.7305699481865284</v>
      </c>
      <c r="R307">
        <f t="shared" si="60"/>
        <v>36</v>
      </c>
      <c r="S307">
        <f t="shared" si="61"/>
        <v>36</v>
      </c>
      <c r="T307">
        <v>36</v>
      </c>
      <c r="U307">
        <f t="shared" si="62"/>
        <v>0</v>
      </c>
      <c r="V307">
        <v>0.67</v>
      </c>
      <c r="W307">
        <v>34.71</v>
      </c>
      <c r="X307">
        <f t="shared" si="63"/>
        <v>837.2052000000001</v>
      </c>
      <c r="Y307">
        <f t="shared" si="64"/>
        <v>837.20519999999999</v>
      </c>
      <c r="Z307">
        <f t="shared" si="65"/>
        <v>-1.357932771100992E-16</v>
      </c>
      <c r="AB307" t="s">
        <v>419</v>
      </c>
      <c r="AE307" t="s">
        <v>420</v>
      </c>
    </row>
    <row r="308" spans="4:31" x14ac:dyDescent="0.25">
      <c r="D308" t="s">
        <v>438</v>
      </c>
      <c r="E308" t="s">
        <v>417</v>
      </c>
      <c r="F308">
        <v>9.8699999999999992</v>
      </c>
      <c r="G308">
        <v>9.8699999999999992</v>
      </c>
      <c r="H308">
        <v>1</v>
      </c>
      <c r="I308">
        <f t="shared" si="55"/>
        <v>0</v>
      </c>
      <c r="J308">
        <v>1</v>
      </c>
      <c r="K308">
        <f t="shared" si="56"/>
        <v>9.8699999999999992</v>
      </c>
      <c r="L308" t="s">
        <v>418</v>
      </c>
      <c r="N308">
        <f t="shared" si="57"/>
        <v>437.65001279999996</v>
      </c>
      <c r="O308">
        <f t="shared" si="58"/>
        <v>0.47724881211917952</v>
      </c>
      <c r="P308" t="s">
        <v>39</v>
      </c>
      <c r="Q308">
        <f t="shared" si="59"/>
        <v>3.6474164133738607</v>
      </c>
      <c r="R308">
        <f t="shared" si="60"/>
        <v>36</v>
      </c>
      <c r="S308">
        <f t="shared" si="61"/>
        <v>36</v>
      </c>
      <c r="T308">
        <v>36</v>
      </c>
      <c r="U308">
        <f t="shared" si="62"/>
        <v>0</v>
      </c>
      <c r="V308">
        <v>0.67</v>
      </c>
      <c r="W308">
        <v>34.71</v>
      </c>
      <c r="X308">
        <f t="shared" si="63"/>
        <v>837.2052000000001</v>
      </c>
      <c r="Y308">
        <f t="shared" si="64"/>
        <v>837.20519999999999</v>
      </c>
      <c r="Z308">
        <f t="shared" si="65"/>
        <v>-1.357932771100992E-16</v>
      </c>
      <c r="AB308" t="s">
        <v>419</v>
      </c>
      <c r="AE308" t="s">
        <v>420</v>
      </c>
    </row>
    <row r="309" spans="4:31" x14ac:dyDescent="0.25">
      <c r="D309" t="s">
        <v>439</v>
      </c>
      <c r="E309" t="s">
        <v>417</v>
      </c>
      <c r="F309">
        <v>10.4</v>
      </c>
      <c r="G309">
        <v>10.4</v>
      </c>
      <c r="H309">
        <v>1</v>
      </c>
      <c r="I309">
        <f t="shared" si="55"/>
        <v>0</v>
      </c>
      <c r="J309">
        <v>1</v>
      </c>
      <c r="K309">
        <f t="shared" si="56"/>
        <v>10.4</v>
      </c>
      <c r="L309" t="s">
        <v>418</v>
      </c>
      <c r="N309">
        <f t="shared" si="57"/>
        <v>461.15097599999996</v>
      </c>
      <c r="O309">
        <f t="shared" si="58"/>
        <v>0.47816870702666453</v>
      </c>
      <c r="P309" t="s">
        <v>39</v>
      </c>
      <c r="Q309">
        <f t="shared" si="59"/>
        <v>3.6538461538461537</v>
      </c>
      <c r="R309">
        <f t="shared" si="60"/>
        <v>38</v>
      </c>
      <c r="S309">
        <f t="shared" si="61"/>
        <v>38</v>
      </c>
      <c r="T309">
        <v>38</v>
      </c>
      <c r="U309">
        <f t="shared" si="62"/>
        <v>0</v>
      </c>
      <c r="V309">
        <v>0.67</v>
      </c>
      <c r="W309">
        <v>34.71</v>
      </c>
      <c r="X309">
        <f t="shared" si="63"/>
        <v>883.71660000000008</v>
      </c>
      <c r="Y309">
        <f t="shared" si="64"/>
        <v>883.71660000000008</v>
      </c>
      <c r="Z309">
        <f t="shared" si="65"/>
        <v>0</v>
      </c>
      <c r="AB309" t="s">
        <v>419</v>
      </c>
      <c r="AE309" t="s">
        <v>420</v>
      </c>
    </row>
    <row r="310" spans="4:31" x14ac:dyDescent="0.25">
      <c r="D310" t="s">
        <v>440</v>
      </c>
      <c r="E310" t="s">
        <v>417</v>
      </c>
      <c r="F310">
        <v>12.35</v>
      </c>
      <c r="G310">
        <v>12.35</v>
      </c>
      <c r="H310">
        <v>1</v>
      </c>
      <c r="I310">
        <f t="shared" si="55"/>
        <v>0</v>
      </c>
      <c r="J310">
        <v>1</v>
      </c>
      <c r="K310">
        <f t="shared" si="56"/>
        <v>12.35</v>
      </c>
      <c r="L310" t="s">
        <v>418</v>
      </c>
      <c r="N310">
        <f t="shared" si="57"/>
        <v>547.61678399999994</v>
      </c>
      <c r="O310">
        <f t="shared" si="58"/>
        <v>0.41130907261445593</v>
      </c>
      <c r="P310" t="s">
        <v>39</v>
      </c>
      <c r="Q310">
        <f t="shared" si="59"/>
        <v>3.2388663967611335</v>
      </c>
      <c r="R310">
        <f t="shared" si="60"/>
        <v>40</v>
      </c>
      <c r="S310">
        <f t="shared" si="61"/>
        <v>40</v>
      </c>
      <c r="T310">
        <v>40</v>
      </c>
      <c r="U310">
        <f t="shared" si="62"/>
        <v>0</v>
      </c>
      <c r="V310">
        <v>0.67</v>
      </c>
      <c r="W310">
        <v>34.71</v>
      </c>
      <c r="X310">
        <f t="shared" si="63"/>
        <v>930.22800000000007</v>
      </c>
      <c r="Y310">
        <f t="shared" si="64"/>
        <v>930.22800000000007</v>
      </c>
      <c r="Z310">
        <f t="shared" si="65"/>
        <v>0</v>
      </c>
      <c r="AB310" t="s">
        <v>419</v>
      </c>
      <c r="AE310" t="s">
        <v>420</v>
      </c>
    </row>
    <row r="311" spans="4:31" x14ac:dyDescent="0.25">
      <c r="D311" t="s">
        <v>441</v>
      </c>
      <c r="E311" t="s">
        <v>417</v>
      </c>
      <c r="F311">
        <v>13.18</v>
      </c>
      <c r="G311">
        <v>13.18</v>
      </c>
      <c r="H311">
        <v>1</v>
      </c>
      <c r="I311">
        <f t="shared" si="55"/>
        <v>0</v>
      </c>
      <c r="J311">
        <v>1</v>
      </c>
      <c r="K311">
        <f t="shared" si="56"/>
        <v>13.18</v>
      </c>
      <c r="L311" t="s">
        <v>418</v>
      </c>
      <c r="N311">
        <f t="shared" si="57"/>
        <v>584.42017919999989</v>
      </c>
      <c r="O311">
        <f t="shared" si="58"/>
        <v>0.3870685160113384</v>
      </c>
      <c r="P311" t="s">
        <v>39</v>
      </c>
      <c r="Q311">
        <f t="shared" si="59"/>
        <v>3.110773899848255</v>
      </c>
      <c r="R311">
        <f t="shared" si="60"/>
        <v>41</v>
      </c>
      <c r="S311">
        <f t="shared" si="61"/>
        <v>41</v>
      </c>
      <c r="T311">
        <v>41</v>
      </c>
      <c r="U311">
        <f t="shared" si="62"/>
        <v>0</v>
      </c>
      <c r="V311">
        <v>0.67</v>
      </c>
      <c r="W311">
        <v>34.71</v>
      </c>
      <c r="X311">
        <f t="shared" si="63"/>
        <v>953.48370000000011</v>
      </c>
      <c r="Y311">
        <f t="shared" si="64"/>
        <v>953.48370000000011</v>
      </c>
      <c r="Z311">
        <f t="shared" si="65"/>
        <v>0</v>
      </c>
      <c r="AB311" t="s">
        <v>419</v>
      </c>
      <c r="AE311" t="s">
        <v>420</v>
      </c>
    </row>
    <row r="312" spans="4:31" x14ac:dyDescent="0.25">
      <c r="D312" t="s">
        <v>442</v>
      </c>
      <c r="E312" t="s">
        <v>417</v>
      </c>
      <c r="F312">
        <v>17.059999999999999</v>
      </c>
      <c r="G312">
        <v>17.059999999999999</v>
      </c>
      <c r="H312">
        <v>1</v>
      </c>
      <c r="I312">
        <f t="shared" si="55"/>
        <v>0</v>
      </c>
      <c r="J312">
        <v>1</v>
      </c>
      <c r="K312">
        <f t="shared" si="56"/>
        <v>17.059999999999999</v>
      </c>
      <c r="L312" t="s">
        <v>418</v>
      </c>
      <c r="N312">
        <f t="shared" si="57"/>
        <v>756.46496639999998</v>
      </c>
      <c r="O312">
        <f t="shared" si="58"/>
        <v>0.20663041602074594</v>
      </c>
      <c r="P312" t="s">
        <v>39</v>
      </c>
      <c r="Q312">
        <f t="shared" si="59"/>
        <v>2.4032825322391562</v>
      </c>
      <c r="R312">
        <f t="shared" si="60"/>
        <v>41</v>
      </c>
      <c r="S312">
        <f t="shared" si="61"/>
        <v>41</v>
      </c>
      <c r="T312">
        <v>41</v>
      </c>
      <c r="U312">
        <f t="shared" si="62"/>
        <v>0</v>
      </c>
      <c r="V312">
        <v>0.67</v>
      </c>
      <c r="W312">
        <v>34.71</v>
      </c>
      <c r="X312">
        <f t="shared" si="63"/>
        <v>953.48370000000011</v>
      </c>
      <c r="Y312">
        <f t="shared" si="64"/>
        <v>953.48370000000011</v>
      </c>
      <c r="Z312">
        <f t="shared" si="65"/>
        <v>0</v>
      </c>
      <c r="AB312" t="s">
        <v>419</v>
      </c>
      <c r="AE312" t="s">
        <v>420</v>
      </c>
    </row>
    <row r="313" spans="4:31" x14ac:dyDescent="0.25">
      <c r="D313" t="s">
        <v>443</v>
      </c>
      <c r="E313" t="s">
        <v>417</v>
      </c>
      <c r="F313">
        <v>18.34</v>
      </c>
      <c r="G313">
        <v>18.34</v>
      </c>
      <c r="H313">
        <v>1</v>
      </c>
      <c r="I313">
        <f t="shared" si="55"/>
        <v>0</v>
      </c>
      <c r="J313">
        <v>1</v>
      </c>
      <c r="K313">
        <f t="shared" si="56"/>
        <v>18.34</v>
      </c>
      <c r="L313" t="s">
        <v>418</v>
      </c>
      <c r="N313">
        <f t="shared" si="57"/>
        <v>813.22200959999998</v>
      </c>
      <c r="O313">
        <f t="shared" si="58"/>
        <v>0.38651372351724539</v>
      </c>
      <c r="P313" t="s">
        <v>39</v>
      </c>
      <c r="Q313">
        <f t="shared" si="59"/>
        <v>3.1079607415485277</v>
      </c>
      <c r="R313">
        <f t="shared" si="60"/>
        <v>57</v>
      </c>
      <c r="S313">
        <f t="shared" si="61"/>
        <v>57</v>
      </c>
      <c r="T313">
        <v>57</v>
      </c>
      <c r="U313">
        <f t="shared" si="62"/>
        <v>0</v>
      </c>
      <c r="V313">
        <v>0.67</v>
      </c>
      <c r="W313">
        <v>34.71</v>
      </c>
      <c r="X313">
        <f t="shared" si="63"/>
        <v>1325.5749000000003</v>
      </c>
      <c r="Y313">
        <f t="shared" si="64"/>
        <v>1325.5749000000001</v>
      </c>
      <c r="Z313">
        <f t="shared" si="65"/>
        <v>-1.7152835003380949E-16</v>
      </c>
      <c r="AB313" t="s">
        <v>419</v>
      </c>
      <c r="AE313" t="s">
        <v>420</v>
      </c>
    </row>
    <row r="314" spans="4:31" x14ac:dyDescent="0.25">
      <c r="D314" t="s">
        <v>444</v>
      </c>
      <c r="E314" t="s">
        <v>417</v>
      </c>
      <c r="F314">
        <v>22.1</v>
      </c>
      <c r="G314">
        <v>22.1</v>
      </c>
      <c r="H314">
        <v>1</v>
      </c>
      <c r="I314">
        <f t="shared" si="55"/>
        <v>0</v>
      </c>
      <c r="J314">
        <v>1</v>
      </c>
      <c r="K314">
        <f t="shared" si="56"/>
        <v>22.1</v>
      </c>
      <c r="L314" t="s">
        <v>418</v>
      </c>
      <c r="N314">
        <f t="shared" si="57"/>
        <v>979.94582400000002</v>
      </c>
      <c r="O314">
        <f t="shared" si="58"/>
        <v>0.33114481099052628</v>
      </c>
      <c r="P314" t="s">
        <v>39</v>
      </c>
      <c r="Q314">
        <f t="shared" si="59"/>
        <v>2.8506787330316739</v>
      </c>
      <c r="R314">
        <f t="shared" si="60"/>
        <v>62.999999999999993</v>
      </c>
      <c r="S314">
        <f t="shared" si="61"/>
        <v>62.999999999999993</v>
      </c>
      <c r="T314">
        <v>63</v>
      </c>
      <c r="U314">
        <f t="shared" si="62"/>
        <v>1.1278456123176195E-16</v>
      </c>
      <c r="V314">
        <v>0.67</v>
      </c>
      <c r="W314">
        <v>34.71</v>
      </c>
      <c r="X314">
        <f t="shared" si="63"/>
        <v>1465.1091000000001</v>
      </c>
      <c r="Y314">
        <f t="shared" si="64"/>
        <v>1465.1091000000001</v>
      </c>
      <c r="Z314">
        <f t="shared" si="65"/>
        <v>0</v>
      </c>
      <c r="AB314" t="s">
        <v>419</v>
      </c>
      <c r="AE314" t="s">
        <v>420</v>
      </c>
    </row>
    <row r="315" spans="4:31" x14ac:dyDescent="0.25">
      <c r="D315" t="s">
        <v>445</v>
      </c>
      <c r="E315" t="s">
        <v>417</v>
      </c>
      <c r="F315">
        <v>23.59</v>
      </c>
      <c r="G315">
        <v>23.59</v>
      </c>
      <c r="H315">
        <v>1</v>
      </c>
      <c r="I315">
        <f t="shared" si="55"/>
        <v>0</v>
      </c>
      <c r="J315">
        <v>1</v>
      </c>
      <c r="K315">
        <f t="shared" si="56"/>
        <v>23.59</v>
      </c>
      <c r="L315" t="s">
        <v>418</v>
      </c>
      <c r="N315">
        <f t="shared" si="57"/>
        <v>1046.0145696</v>
      </c>
      <c r="O315">
        <f t="shared" si="58"/>
        <v>0.33854636927720949</v>
      </c>
      <c r="P315" t="s">
        <v>39</v>
      </c>
      <c r="Q315">
        <f t="shared" si="59"/>
        <v>2.8825773632895295</v>
      </c>
      <c r="R315">
        <f t="shared" si="60"/>
        <v>68</v>
      </c>
      <c r="S315">
        <f t="shared" si="61"/>
        <v>68</v>
      </c>
      <c r="T315">
        <v>68</v>
      </c>
      <c r="U315">
        <f t="shared" si="62"/>
        <v>0</v>
      </c>
      <c r="V315">
        <v>0.67</v>
      </c>
      <c r="W315">
        <v>34.71</v>
      </c>
      <c r="X315">
        <f t="shared" si="63"/>
        <v>1581.3876</v>
      </c>
      <c r="Y315">
        <f t="shared" si="64"/>
        <v>1581.3876000000002</v>
      </c>
      <c r="Z315">
        <f t="shared" si="65"/>
        <v>1.4378111694010505E-16</v>
      </c>
      <c r="AB315" t="s">
        <v>419</v>
      </c>
      <c r="AE315" t="s">
        <v>420</v>
      </c>
    </row>
    <row r="316" spans="4:31" x14ac:dyDescent="0.25">
      <c r="D316" t="s">
        <v>446</v>
      </c>
      <c r="E316" t="s">
        <v>417</v>
      </c>
      <c r="F316">
        <v>28.7</v>
      </c>
      <c r="G316">
        <v>28.7</v>
      </c>
      <c r="H316">
        <v>1</v>
      </c>
      <c r="I316">
        <f t="shared" si="55"/>
        <v>0</v>
      </c>
      <c r="J316">
        <v>1</v>
      </c>
      <c r="K316">
        <f t="shared" si="56"/>
        <v>28.7</v>
      </c>
      <c r="L316" t="s">
        <v>418</v>
      </c>
      <c r="N316">
        <f t="shared" si="57"/>
        <v>1272.5993279999998</v>
      </c>
      <c r="O316">
        <f t="shared" si="58"/>
        <v>0.31597450947509659</v>
      </c>
      <c r="P316" t="s">
        <v>39</v>
      </c>
      <c r="Q316">
        <f t="shared" si="59"/>
        <v>2.7874564459930316</v>
      </c>
      <c r="R316">
        <f t="shared" si="60"/>
        <v>80</v>
      </c>
      <c r="S316">
        <f t="shared" si="61"/>
        <v>80</v>
      </c>
      <c r="T316">
        <v>80</v>
      </c>
      <c r="U316">
        <f t="shared" si="62"/>
        <v>0</v>
      </c>
      <c r="V316">
        <v>0.67</v>
      </c>
      <c r="W316">
        <v>34.71</v>
      </c>
      <c r="X316">
        <f t="shared" si="63"/>
        <v>1860.4560000000001</v>
      </c>
      <c r="Y316">
        <f t="shared" si="64"/>
        <v>1860.4560000000001</v>
      </c>
      <c r="Z316">
        <f t="shared" si="65"/>
        <v>0</v>
      </c>
      <c r="AB316" t="s">
        <v>419</v>
      </c>
      <c r="AE316" t="s">
        <v>420</v>
      </c>
    </row>
    <row r="317" spans="4:31" x14ac:dyDescent="0.25">
      <c r="D317" t="s">
        <v>447</v>
      </c>
      <c r="E317" t="s">
        <v>417</v>
      </c>
      <c r="F317">
        <v>33.44</v>
      </c>
      <c r="G317">
        <v>33.44</v>
      </c>
      <c r="H317">
        <v>1</v>
      </c>
      <c r="I317">
        <f t="shared" si="55"/>
        <v>0</v>
      </c>
      <c r="J317">
        <v>1</v>
      </c>
      <c r="K317">
        <f t="shared" si="56"/>
        <v>33.44</v>
      </c>
      <c r="L317" t="s">
        <v>418</v>
      </c>
      <c r="N317">
        <f t="shared" si="57"/>
        <v>1482.7777535999996</v>
      </c>
      <c r="O317">
        <f t="shared" si="58"/>
        <v>0.35596206234743899</v>
      </c>
      <c r="P317" t="s">
        <v>39</v>
      </c>
      <c r="Q317">
        <f t="shared" si="59"/>
        <v>2.9605263157894739</v>
      </c>
      <c r="R317">
        <f t="shared" si="60"/>
        <v>99</v>
      </c>
      <c r="S317">
        <f t="shared" si="61"/>
        <v>99</v>
      </c>
      <c r="T317">
        <v>99</v>
      </c>
      <c r="U317">
        <f t="shared" si="62"/>
        <v>0</v>
      </c>
      <c r="V317">
        <v>0.67</v>
      </c>
      <c r="W317">
        <v>34.71</v>
      </c>
      <c r="X317">
        <f t="shared" si="63"/>
        <v>2302.3143</v>
      </c>
      <c r="Y317">
        <f t="shared" si="64"/>
        <v>2302.3143</v>
      </c>
      <c r="Z317">
        <f t="shared" si="65"/>
        <v>0</v>
      </c>
      <c r="AB317" t="s">
        <v>419</v>
      </c>
      <c r="AE317" t="s">
        <v>420</v>
      </c>
    </row>
    <row r="318" spans="4:31" x14ac:dyDescent="0.25">
      <c r="D318" t="s">
        <v>448</v>
      </c>
      <c r="E318" t="s">
        <v>417</v>
      </c>
      <c r="F318">
        <v>40.78</v>
      </c>
      <c r="G318">
        <v>40.78</v>
      </c>
      <c r="H318">
        <v>1</v>
      </c>
      <c r="I318">
        <f t="shared" si="55"/>
        <v>0</v>
      </c>
      <c r="J318">
        <v>1</v>
      </c>
      <c r="K318">
        <f t="shared" si="56"/>
        <v>40.78</v>
      </c>
      <c r="L318" t="s">
        <v>418</v>
      </c>
      <c r="N318">
        <f t="shared" si="57"/>
        <v>1808.2439231999999</v>
      </c>
      <c r="O318">
        <f t="shared" si="58"/>
        <v>0.35739777110362397</v>
      </c>
      <c r="P318" t="s">
        <v>39</v>
      </c>
      <c r="Q318">
        <f t="shared" si="59"/>
        <v>2.967140755272192</v>
      </c>
      <c r="R318">
        <f t="shared" si="60"/>
        <v>121</v>
      </c>
      <c r="S318">
        <f t="shared" si="61"/>
        <v>121</v>
      </c>
      <c r="T318">
        <v>121</v>
      </c>
      <c r="U318">
        <f t="shared" si="62"/>
        <v>0</v>
      </c>
      <c r="V318">
        <v>0.67</v>
      </c>
      <c r="W318">
        <v>34.71</v>
      </c>
      <c r="X318">
        <f t="shared" si="63"/>
        <v>2813.9397000000004</v>
      </c>
      <c r="Y318">
        <f t="shared" si="64"/>
        <v>2813.9396999999999</v>
      </c>
      <c r="Z318">
        <f t="shared" si="65"/>
        <v>-1.6160522234590317E-16</v>
      </c>
      <c r="AB318" t="s">
        <v>419</v>
      </c>
      <c r="AE318" t="s">
        <v>420</v>
      </c>
    </row>
    <row r="319" spans="4:31" x14ac:dyDescent="0.25">
      <c r="D319" t="s">
        <v>449</v>
      </c>
      <c r="E319" t="s">
        <v>417</v>
      </c>
      <c r="F319">
        <v>42.65</v>
      </c>
      <c r="G319">
        <v>42.65</v>
      </c>
      <c r="H319">
        <v>1</v>
      </c>
      <c r="I319">
        <f t="shared" si="55"/>
        <v>0</v>
      </c>
      <c r="J319">
        <v>1</v>
      </c>
      <c r="K319">
        <f t="shared" si="56"/>
        <v>42.65</v>
      </c>
      <c r="L319" t="s">
        <v>418</v>
      </c>
      <c r="N319">
        <f t="shared" si="57"/>
        <v>1891.1624159999997</v>
      </c>
      <c r="O319">
        <f t="shared" si="58"/>
        <v>0.41072186697193092</v>
      </c>
      <c r="P319" t="s">
        <v>39</v>
      </c>
      <c r="Q319">
        <f t="shared" si="59"/>
        <v>3.2356389214536931</v>
      </c>
      <c r="R319">
        <f t="shared" si="60"/>
        <v>138</v>
      </c>
      <c r="S319">
        <f t="shared" si="61"/>
        <v>138</v>
      </c>
      <c r="T319">
        <v>138</v>
      </c>
      <c r="U319">
        <f t="shared" si="62"/>
        <v>0</v>
      </c>
      <c r="V319">
        <v>0.67</v>
      </c>
      <c r="W319">
        <v>34.71</v>
      </c>
      <c r="X319">
        <f t="shared" si="63"/>
        <v>3209.2866000000004</v>
      </c>
      <c r="Y319">
        <f t="shared" si="64"/>
        <v>3209.2866000000004</v>
      </c>
      <c r="Z319">
        <f t="shared" si="65"/>
        <v>0</v>
      </c>
      <c r="AB319" t="s">
        <v>419</v>
      </c>
      <c r="AE319" t="s">
        <v>420</v>
      </c>
    </row>
    <row r="320" spans="4:31" x14ac:dyDescent="0.25">
      <c r="D320" t="s">
        <v>450</v>
      </c>
      <c r="E320" t="s">
        <v>417</v>
      </c>
      <c r="F320">
        <v>40.299999999999997</v>
      </c>
      <c r="G320">
        <v>40.299999999999997</v>
      </c>
      <c r="H320">
        <v>1</v>
      </c>
      <c r="I320">
        <f t="shared" si="55"/>
        <v>0</v>
      </c>
      <c r="J320">
        <v>1</v>
      </c>
      <c r="K320">
        <f t="shared" si="56"/>
        <v>40.299999999999997</v>
      </c>
      <c r="L320" t="s">
        <v>418</v>
      </c>
      <c r="N320">
        <f t="shared" si="57"/>
        <v>1786.9600319999997</v>
      </c>
      <c r="O320">
        <f t="shared" si="58"/>
        <v>0.55064527549518338</v>
      </c>
      <c r="P320" t="s">
        <v>39</v>
      </c>
      <c r="Q320">
        <f t="shared" si="59"/>
        <v>4.2431761786600504</v>
      </c>
      <c r="R320">
        <f t="shared" si="60"/>
        <v>171.00000000000003</v>
      </c>
      <c r="S320">
        <f t="shared" si="61"/>
        <v>171.00000000000003</v>
      </c>
      <c r="T320">
        <v>171</v>
      </c>
      <c r="U320">
        <f t="shared" si="62"/>
        <v>-1.6620882707838597E-16</v>
      </c>
      <c r="V320">
        <v>0.67</v>
      </c>
      <c r="W320">
        <v>34.71</v>
      </c>
      <c r="X320">
        <f t="shared" si="63"/>
        <v>3976.7247000000007</v>
      </c>
      <c r="Y320">
        <f t="shared" si="64"/>
        <v>3976.7247000000007</v>
      </c>
      <c r="Z320">
        <f t="shared" si="65"/>
        <v>0</v>
      </c>
      <c r="AB320" t="s">
        <v>419</v>
      </c>
      <c r="AE320" t="s">
        <v>420</v>
      </c>
    </row>
    <row r="321" spans="4:31" x14ac:dyDescent="0.25">
      <c r="D321" t="s">
        <v>451</v>
      </c>
      <c r="E321" t="s">
        <v>417</v>
      </c>
      <c r="F321">
        <v>50.23</v>
      </c>
      <c r="G321">
        <v>50.23</v>
      </c>
      <c r="H321">
        <v>1</v>
      </c>
      <c r="I321">
        <f t="shared" si="55"/>
        <v>0</v>
      </c>
      <c r="J321">
        <v>1</v>
      </c>
      <c r="K321">
        <f t="shared" si="56"/>
        <v>50.23</v>
      </c>
      <c r="L321" t="s">
        <v>418</v>
      </c>
      <c r="N321">
        <f t="shared" si="57"/>
        <v>2227.2705311999998</v>
      </c>
      <c r="O321">
        <f t="shared" si="58"/>
        <v>0.45890902751525181</v>
      </c>
      <c r="P321" t="s">
        <v>39</v>
      </c>
      <c r="Q321">
        <f t="shared" si="59"/>
        <v>3.5237905634083218</v>
      </c>
      <c r="R321">
        <f t="shared" si="60"/>
        <v>177</v>
      </c>
      <c r="S321">
        <f t="shared" si="61"/>
        <v>177</v>
      </c>
      <c r="T321">
        <v>177</v>
      </c>
      <c r="U321">
        <f t="shared" si="62"/>
        <v>0</v>
      </c>
      <c r="V321">
        <v>0.67</v>
      </c>
      <c r="W321">
        <v>34.71</v>
      </c>
      <c r="X321">
        <f t="shared" si="63"/>
        <v>4116.2588999999998</v>
      </c>
      <c r="Y321">
        <f t="shared" si="64"/>
        <v>4116.2589000000007</v>
      </c>
      <c r="Z321">
        <f t="shared" si="65"/>
        <v>2.209517729249072E-16</v>
      </c>
      <c r="AB321" t="s">
        <v>419</v>
      </c>
      <c r="AE321" t="s">
        <v>420</v>
      </c>
    </row>
    <row r="322" spans="4:31" x14ac:dyDescent="0.25">
      <c r="D322" t="s">
        <v>452</v>
      </c>
      <c r="E322" t="s">
        <v>417</v>
      </c>
      <c r="F322">
        <v>63.41</v>
      </c>
      <c r="G322">
        <v>63.41</v>
      </c>
      <c r="H322">
        <v>1</v>
      </c>
      <c r="I322">
        <f t="shared" si="55"/>
        <v>0</v>
      </c>
      <c r="J322">
        <v>1</v>
      </c>
      <c r="K322">
        <f t="shared" si="56"/>
        <v>63.41</v>
      </c>
      <c r="L322" t="s">
        <v>418</v>
      </c>
      <c r="N322">
        <f t="shared" ref="N322:N353" si="66">K322*$N$3*$O$3</f>
        <v>2811.6907103999997</v>
      </c>
      <c r="O322">
        <f t="shared" si="58"/>
        <v>0.35689737780140662</v>
      </c>
      <c r="P322" t="s">
        <v>39</v>
      </c>
      <c r="Q322">
        <f t="shared" si="59"/>
        <v>2.9648320454187038</v>
      </c>
      <c r="R322">
        <f t="shared" si="60"/>
        <v>188</v>
      </c>
      <c r="S322">
        <f t="shared" si="61"/>
        <v>188</v>
      </c>
      <c r="T322">
        <v>188</v>
      </c>
      <c r="U322">
        <f t="shared" si="62"/>
        <v>0</v>
      </c>
      <c r="V322">
        <v>0.67</v>
      </c>
      <c r="W322">
        <v>34.71</v>
      </c>
      <c r="X322">
        <f t="shared" si="63"/>
        <v>4372.0716000000002</v>
      </c>
      <c r="Y322">
        <f t="shared" si="64"/>
        <v>4372.0716000000002</v>
      </c>
      <c r="Z322">
        <f t="shared" si="65"/>
        <v>0</v>
      </c>
      <c r="AB322" t="s">
        <v>419</v>
      </c>
      <c r="AE322" t="s">
        <v>420</v>
      </c>
    </row>
    <row r="323" spans="4:31" x14ac:dyDescent="0.25">
      <c r="D323" t="s">
        <v>453</v>
      </c>
      <c r="E323" t="s">
        <v>417</v>
      </c>
      <c r="F323">
        <v>57.52</v>
      </c>
      <c r="G323">
        <v>57.52</v>
      </c>
      <c r="H323">
        <v>1</v>
      </c>
      <c r="I323">
        <f t="shared" si="55"/>
        <v>0</v>
      </c>
      <c r="J323">
        <v>1</v>
      </c>
      <c r="K323">
        <f t="shared" si="56"/>
        <v>57.52</v>
      </c>
      <c r="L323" t="s">
        <v>418</v>
      </c>
      <c r="N323">
        <f t="shared" si="66"/>
        <v>2550.5196287999997</v>
      </c>
      <c r="O323">
        <f t="shared" si="58"/>
        <v>0.43467586888907733</v>
      </c>
      <c r="P323" t="s">
        <v>39</v>
      </c>
      <c r="Q323">
        <f t="shared" si="59"/>
        <v>3.3727399165507648</v>
      </c>
      <c r="R323">
        <f t="shared" si="60"/>
        <v>194</v>
      </c>
      <c r="S323">
        <f t="shared" si="61"/>
        <v>194</v>
      </c>
      <c r="T323">
        <v>194</v>
      </c>
      <c r="U323">
        <f t="shared" si="62"/>
        <v>0</v>
      </c>
      <c r="V323">
        <v>0.67</v>
      </c>
      <c r="W323">
        <v>34.71</v>
      </c>
      <c r="X323">
        <f t="shared" si="63"/>
        <v>4511.6058000000012</v>
      </c>
      <c r="Y323">
        <f t="shared" si="64"/>
        <v>4511.6058000000003</v>
      </c>
      <c r="Z323">
        <f t="shared" si="65"/>
        <v>-2.0159001962736371E-16</v>
      </c>
      <c r="AB323" t="s">
        <v>419</v>
      </c>
      <c r="AE323" t="s">
        <v>420</v>
      </c>
    </row>
    <row r="324" spans="4:31" x14ac:dyDescent="0.25">
      <c r="D324" t="s">
        <v>454</v>
      </c>
      <c r="E324" t="s">
        <v>417</v>
      </c>
      <c r="F324">
        <v>81.36</v>
      </c>
      <c r="G324">
        <v>81.36</v>
      </c>
      <c r="H324">
        <v>1</v>
      </c>
      <c r="I324">
        <f t="shared" si="55"/>
        <v>0</v>
      </c>
      <c r="J324">
        <v>1</v>
      </c>
      <c r="K324">
        <f t="shared" si="56"/>
        <v>81.36</v>
      </c>
      <c r="L324" t="s">
        <v>418</v>
      </c>
      <c r="N324">
        <f t="shared" si="66"/>
        <v>3607.6195583999997</v>
      </c>
      <c r="O324">
        <f t="shared" si="58"/>
        <v>0.24327609199821668</v>
      </c>
      <c r="P324" t="s">
        <v>39</v>
      </c>
      <c r="Q324">
        <f t="shared" si="59"/>
        <v>2.5196656833824975</v>
      </c>
      <c r="R324">
        <f t="shared" si="60"/>
        <v>205</v>
      </c>
      <c r="S324">
        <f t="shared" si="61"/>
        <v>205</v>
      </c>
      <c r="T324">
        <v>205</v>
      </c>
      <c r="U324">
        <f t="shared" si="62"/>
        <v>0</v>
      </c>
      <c r="V324">
        <v>0.67</v>
      </c>
      <c r="W324">
        <v>34.71</v>
      </c>
      <c r="X324">
        <f t="shared" si="63"/>
        <v>4767.4184999999998</v>
      </c>
      <c r="Y324">
        <f t="shared" si="64"/>
        <v>4767.4185000000007</v>
      </c>
      <c r="Z324">
        <f t="shared" si="65"/>
        <v>1.9077299418394427E-16</v>
      </c>
      <c r="AB324" t="s">
        <v>419</v>
      </c>
      <c r="AE324" t="s">
        <v>420</v>
      </c>
    </row>
    <row r="325" spans="4:31" x14ac:dyDescent="0.25">
      <c r="D325" t="s">
        <v>455</v>
      </c>
      <c r="E325" t="s">
        <v>417</v>
      </c>
      <c r="F325">
        <v>4.79</v>
      </c>
      <c r="G325">
        <v>4.79</v>
      </c>
      <c r="H325">
        <v>1</v>
      </c>
      <c r="I325">
        <f t="shared" si="55"/>
        <v>0</v>
      </c>
      <c r="J325">
        <v>1</v>
      </c>
      <c r="K325">
        <f t="shared" si="56"/>
        <v>4.79</v>
      </c>
      <c r="L325" t="s">
        <v>418</v>
      </c>
      <c r="N325">
        <f t="shared" si="66"/>
        <v>212.3954976</v>
      </c>
      <c r="O325">
        <f t="shared" si="58"/>
        <v>0.492608269513854</v>
      </c>
      <c r="P325" t="s">
        <v>39</v>
      </c>
      <c r="Q325">
        <f t="shared" si="59"/>
        <v>3.757828810020877</v>
      </c>
      <c r="R325">
        <f t="shared" si="60"/>
        <v>18</v>
      </c>
      <c r="S325">
        <f t="shared" si="61"/>
        <v>18</v>
      </c>
      <c r="T325">
        <v>18</v>
      </c>
      <c r="U325">
        <f t="shared" si="62"/>
        <v>0</v>
      </c>
      <c r="V325">
        <v>0.67</v>
      </c>
      <c r="W325">
        <v>34.71</v>
      </c>
      <c r="X325">
        <f t="shared" si="63"/>
        <v>418.60260000000005</v>
      </c>
      <c r="Y325">
        <f t="shared" si="64"/>
        <v>418.6026</v>
      </c>
      <c r="Z325">
        <f t="shared" si="65"/>
        <v>-1.357932771100992E-16</v>
      </c>
      <c r="AB325" t="s">
        <v>419</v>
      </c>
      <c r="AE325" t="s">
        <v>420</v>
      </c>
    </row>
    <row r="326" spans="4:31" x14ac:dyDescent="0.25">
      <c r="D326" t="s">
        <v>456</v>
      </c>
      <c r="E326" t="s">
        <v>417</v>
      </c>
      <c r="F326">
        <v>5.01</v>
      </c>
      <c r="G326">
        <v>5.01</v>
      </c>
      <c r="H326">
        <v>1</v>
      </c>
      <c r="I326">
        <f t="shared" si="55"/>
        <v>0</v>
      </c>
      <c r="J326">
        <v>1</v>
      </c>
      <c r="K326">
        <f t="shared" si="56"/>
        <v>5.01</v>
      </c>
      <c r="L326" t="s">
        <v>418</v>
      </c>
      <c r="N326">
        <f t="shared" si="66"/>
        <v>222.15061439999997</v>
      </c>
      <c r="O326">
        <f t="shared" si="58"/>
        <v>0.52237383867180964</v>
      </c>
      <c r="P326" t="s">
        <v>39</v>
      </c>
      <c r="Q326">
        <f t="shared" si="59"/>
        <v>3.9920159680638725</v>
      </c>
      <c r="R326">
        <f t="shared" si="60"/>
        <v>20</v>
      </c>
      <c r="S326">
        <f t="shared" si="61"/>
        <v>20</v>
      </c>
      <c r="T326">
        <v>20</v>
      </c>
      <c r="U326">
        <f t="shared" si="62"/>
        <v>0</v>
      </c>
      <c r="V326">
        <v>0.67</v>
      </c>
      <c r="W326">
        <v>34.71</v>
      </c>
      <c r="X326">
        <f t="shared" si="63"/>
        <v>465.11400000000003</v>
      </c>
      <c r="Y326">
        <f t="shared" si="64"/>
        <v>465.11400000000003</v>
      </c>
      <c r="Z326">
        <f t="shared" si="65"/>
        <v>0</v>
      </c>
      <c r="AB326" t="s">
        <v>419</v>
      </c>
      <c r="AE326" t="s">
        <v>420</v>
      </c>
    </row>
    <row r="327" spans="4:31" x14ac:dyDescent="0.25">
      <c r="D327" t="s">
        <v>457</v>
      </c>
      <c r="E327" t="s">
        <v>417</v>
      </c>
      <c r="F327">
        <v>5.09</v>
      </c>
      <c r="G327">
        <v>5.09</v>
      </c>
      <c r="H327">
        <v>1</v>
      </c>
      <c r="I327">
        <f t="shared" si="55"/>
        <v>0</v>
      </c>
      <c r="J327">
        <v>1</v>
      </c>
      <c r="K327">
        <f t="shared" si="56"/>
        <v>5.09</v>
      </c>
      <c r="L327" t="s">
        <v>418</v>
      </c>
      <c r="N327">
        <f t="shared" si="66"/>
        <v>225.69792959999998</v>
      </c>
      <c r="O327">
        <f t="shared" si="58"/>
        <v>0.51474707362066086</v>
      </c>
      <c r="P327" t="s">
        <v>39</v>
      </c>
      <c r="Q327">
        <f t="shared" si="59"/>
        <v>3.9292730844793713</v>
      </c>
      <c r="R327">
        <f t="shared" si="60"/>
        <v>20</v>
      </c>
      <c r="S327">
        <f t="shared" si="61"/>
        <v>20</v>
      </c>
      <c r="T327">
        <v>20</v>
      </c>
      <c r="U327">
        <f t="shared" si="62"/>
        <v>0</v>
      </c>
      <c r="V327">
        <v>0.67</v>
      </c>
      <c r="W327">
        <v>34.71</v>
      </c>
      <c r="X327">
        <f t="shared" si="63"/>
        <v>465.11400000000003</v>
      </c>
      <c r="Y327">
        <f t="shared" si="64"/>
        <v>465.11400000000003</v>
      </c>
      <c r="Z327">
        <f t="shared" si="65"/>
        <v>0</v>
      </c>
      <c r="AB327" t="s">
        <v>419</v>
      </c>
      <c r="AE327" t="s">
        <v>420</v>
      </c>
    </row>
    <row r="328" spans="4:31" x14ac:dyDescent="0.25">
      <c r="D328" t="s">
        <v>458</v>
      </c>
      <c r="E328" t="s">
        <v>417</v>
      </c>
      <c r="F328">
        <v>5.31</v>
      </c>
      <c r="G328">
        <v>5.31</v>
      </c>
      <c r="H328">
        <v>1</v>
      </c>
      <c r="I328">
        <f t="shared" si="55"/>
        <v>0</v>
      </c>
      <c r="J328">
        <v>1</v>
      </c>
      <c r="K328">
        <f t="shared" si="56"/>
        <v>5.31</v>
      </c>
      <c r="L328" t="s">
        <v>418</v>
      </c>
      <c r="N328">
        <f t="shared" si="66"/>
        <v>235.45304639999998</v>
      </c>
      <c r="O328">
        <f t="shared" si="58"/>
        <v>0.51787949498095409</v>
      </c>
      <c r="P328" t="s">
        <v>39</v>
      </c>
      <c r="Q328">
        <f t="shared" si="59"/>
        <v>3.9548022598870061</v>
      </c>
      <c r="R328">
        <f t="shared" si="60"/>
        <v>21</v>
      </c>
      <c r="S328">
        <f t="shared" si="61"/>
        <v>21</v>
      </c>
      <c r="T328">
        <v>21</v>
      </c>
      <c r="U328">
        <f t="shared" si="62"/>
        <v>0</v>
      </c>
      <c r="V328">
        <v>0.67</v>
      </c>
      <c r="W328">
        <v>34.71</v>
      </c>
      <c r="X328">
        <f t="shared" si="63"/>
        <v>488.36970000000002</v>
      </c>
      <c r="Y328">
        <f t="shared" si="64"/>
        <v>488.36970000000002</v>
      </c>
      <c r="Z328">
        <f t="shared" si="65"/>
        <v>0</v>
      </c>
      <c r="AB328" t="s">
        <v>419</v>
      </c>
      <c r="AE328" t="s">
        <v>420</v>
      </c>
    </row>
    <row r="329" spans="4:31" x14ac:dyDescent="0.25">
      <c r="D329" t="s">
        <v>459</v>
      </c>
      <c r="E329" t="s">
        <v>417</v>
      </c>
      <c r="F329">
        <v>5.24</v>
      </c>
      <c r="G329">
        <v>5.24</v>
      </c>
      <c r="H329">
        <v>1</v>
      </c>
      <c r="I329">
        <f t="shared" si="55"/>
        <v>0</v>
      </c>
      <c r="J329">
        <v>1</v>
      </c>
      <c r="K329">
        <f t="shared" si="56"/>
        <v>5.24</v>
      </c>
      <c r="L329" t="s">
        <v>418</v>
      </c>
      <c r="N329">
        <f t="shared" si="66"/>
        <v>232.34914559999999</v>
      </c>
      <c r="O329">
        <f t="shared" si="58"/>
        <v>0.5242351325235779</v>
      </c>
      <c r="P329" t="s">
        <v>39</v>
      </c>
      <c r="Q329">
        <f t="shared" si="59"/>
        <v>4.007633587786259</v>
      </c>
      <c r="R329">
        <f t="shared" si="60"/>
        <v>20.999999999999996</v>
      </c>
      <c r="S329">
        <f t="shared" si="61"/>
        <v>20.999999999999996</v>
      </c>
      <c r="T329">
        <v>21</v>
      </c>
      <c r="U329">
        <f t="shared" si="62"/>
        <v>1.6917684184764294E-16</v>
      </c>
      <c r="V329">
        <v>0.67</v>
      </c>
      <c r="W329">
        <v>34.71</v>
      </c>
      <c r="X329">
        <f t="shared" si="63"/>
        <v>488.36969999999997</v>
      </c>
      <c r="Y329">
        <f t="shared" si="64"/>
        <v>488.36969999999991</v>
      </c>
      <c r="Z329">
        <f t="shared" si="65"/>
        <v>-1.1639423752294218E-16</v>
      </c>
      <c r="AB329" t="s">
        <v>419</v>
      </c>
      <c r="AE329" t="s">
        <v>420</v>
      </c>
    </row>
    <row r="330" spans="4:31" x14ac:dyDescent="0.25">
      <c r="D330" t="s">
        <v>460</v>
      </c>
      <c r="E330" t="s">
        <v>417</v>
      </c>
      <c r="F330">
        <v>5.78</v>
      </c>
      <c r="G330">
        <v>5.78</v>
      </c>
      <c r="H330">
        <v>1</v>
      </c>
      <c r="I330">
        <f t="shared" si="55"/>
        <v>0</v>
      </c>
      <c r="J330">
        <v>1</v>
      </c>
      <c r="K330">
        <f t="shared" si="56"/>
        <v>5.78</v>
      </c>
      <c r="L330" t="s">
        <v>418</v>
      </c>
      <c r="N330">
        <f t="shared" si="66"/>
        <v>256.29352319999998</v>
      </c>
      <c r="O330">
        <f t="shared" si="58"/>
        <v>0.52084019569956774</v>
      </c>
      <c r="P330" t="s">
        <v>39</v>
      </c>
      <c r="Q330">
        <f t="shared" si="59"/>
        <v>3.9792387543252592</v>
      </c>
      <c r="R330">
        <f t="shared" si="60"/>
        <v>23</v>
      </c>
      <c r="S330">
        <f t="shared" si="61"/>
        <v>23</v>
      </c>
      <c r="T330">
        <v>23</v>
      </c>
      <c r="U330">
        <f t="shared" si="62"/>
        <v>0</v>
      </c>
      <c r="V330">
        <v>0.67</v>
      </c>
      <c r="W330">
        <v>34.71</v>
      </c>
      <c r="X330">
        <f t="shared" si="63"/>
        <v>534.88110000000006</v>
      </c>
      <c r="Y330">
        <f t="shared" si="64"/>
        <v>534.88110000000006</v>
      </c>
      <c r="Z330">
        <f t="shared" si="65"/>
        <v>0</v>
      </c>
      <c r="AB330" t="s">
        <v>419</v>
      </c>
      <c r="AE330" t="s">
        <v>420</v>
      </c>
    </row>
    <row r="331" spans="4:31" x14ac:dyDescent="0.25">
      <c r="D331" t="s">
        <v>461</v>
      </c>
      <c r="E331" t="s">
        <v>417</v>
      </c>
      <c r="F331">
        <v>5.6</v>
      </c>
      <c r="G331">
        <v>5.6</v>
      </c>
      <c r="H331">
        <v>1</v>
      </c>
      <c r="I331">
        <f t="shared" si="55"/>
        <v>0</v>
      </c>
      <c r="J331">
        <v>1</v>
      </c>
      <c r="K331">
        <f t="shared" si="56"/>
        <v>5.6</v>
      </c>
      <c r="L331" t="s">
        <v>418</v>
      </c>
      <c r="N331">
        <f t="shared" si="66"/>
        <v>248.31206399999996</v>
      </c>
      <c r="O331">
        <f t="shared" si="58"/>
        <v>0.53576212732138051</v>
      </c>
      <c r="P331" t="s">
        <v>39</v>
      </c>
      <c r="Q331">
        <f t="shared" si="59"/>
        <v>4.1071428571428577</v>
      </c>
      <c r="R331">
        <f t="shared" si="60"/>
        <v>23</v>
      </c>
      <c r="S331">
        <f t="shared" si="61"/>
        <v>23</v>
      </c>
      <c r="T331">
        <v>23</v>
      </c>
      <c r="U331">
        <f t="shared" si="62"/>
        <v>0</v>
      </c>
      <c r="V331">
        <v>0.67</v>
      </c>
      <c r="W331">
        <v>34.71</v>
      </c>
      <c r="X331">
        <f t="shared" si="63"/>
        <v>534.88110000000006</v>
      </c>
      <c r="Y331">
        <f t="shared" si="64"/>
        <v>534.88110000000006</v>
      </c>
      <c r="Z331">
        <f t="shared" si="65"/>
        <v>0</v>
      </c>
      <c r="AB331" t="s">
        <v>419</v>
      </c>
      <c r="AE331" t="s">
        <v>420</v>
      </c>
    </row>
    <row r="332" spans="4:31" x14ac:dyDescent="0.25">
      <c r="D332" t="s">
        <v>462</v>
      </c>
      <c r="E332" t="s">
        <v>417</v>
      </c>
      <c r="F332">
        <v>5.56</v>
      </c>
      <c r="G332">
        <v>5.56</v>
      </c>
      <c r="H332">
        <v>1</v>
      </c>
      <c r="I332">
        <f t="shared" si="55"/>
        <v>0</v>
      </c>
      <c r="J332">
        <v>1</v>
      </c>
      <c r="K332">
        <f t="shared" si="56"/>
        <v>5.56</v>
      </c>
      <c r="L332" t="s">
        <v>418</v>
      </c>
      <c r="N332">
        <f t="shared" si="66"/>
        <v>246.53840639999996</v>
      </c>
      <c r="O332">
        <f t="shared" si="58"/>
        <v>0.5390781121262278</v>
      </c>
      <c r="P332" t="s">
        <v>39</v>
      </c>
      <c r="Q332">
        <f t="shared" si="59"/>
        <v>4.1366906474820144</v>
      </c>
      <c r="R332">
        <f t="shared" si="60"/>
        <v>23</v>
      </c>
      <c r="S332">
        <f t="shared" si="61"/>
        <v>23</v>
      </c>
      <c r="T332">
        <v>23</v>
      </c>
      <c r="U332">
        <f t="shared" si="62"/>
        <v>0</v>
      </c>
      <c r="V332">
        <v>0.67</v>
      </c>
      <c r="W332">
        <v>34.71</v>
      </c>
      <c r="X332">
        <f t="shared" si="63"/>
        <v>534.88110000000006</v>
      </c>
      <c r="Y332">
        <f t="shared" si="64"/>
        <v>534.88110000000006</v>
      </c>
      <c r="Z332">
        <f t="shared" si="65"/>
        <v>0</v>
      </c>
      <c r="AB332" t="s">
        <v>419</v>
      </c>
      <c r="AE332" t="s">
        <v>420</v>
      </c>
    </row>
    <row r="333" spans="4:31" x14ac:dyDescent="0.25">
      <c r="D333" t="s">
        <v>463</v>
      </c>
      <c r="E333" t="s">
        <v>417</v>
      </c>
      <c r="F333">
        <v>5.5</v>
      </c>
      <c r="G333">
        <v>5.5</v>
      </c>
      <c r="H333">
        <v>1</v>
      </c>
      <c r="I333">
        <f t="shared" si="55"/>
        <v>0</v>
      </c>
      <c r="J333">
        <v>1</v>
      </c>
      <c r="K333">
        <f t="shared" si="56"/>
        <v>5.5</v>
      </c>
      <c r="L333" t="s">
        <v>418</v>
      </c>
      <c r="N333">
        <f t="shared" si="66"/>
        <v>243.87791999999999</v>
      </c>
      <c r="O333">
        <f t="shared" si="58"/>
        <v>0.58052792218681881</v>
      </c>
      <c r="P333" t="s">
        <v>39</v>
      </c>
      <c r="Q333">
        <f t="shared" si="59"/>
        <v>4.5454545454545459</v>
      </c>
      <c r="R333">
        <f t="shared" si="60"/>
        <v>25.000000000000004</v>
      </c>
      <c r="S333">
        <f t="shared" si="61"/>
        <v>25.000000000000004</v>
      </c>
      <c r="T333">
        <v>25</v>
      </c>
      <c r="U333">
        <f t="shared" si="62"/>
        <v>-1.4210854715202002E-16</v>
      </c>
      <c r="V333">
        <v>0.67</v>
      </c>
      <c r="W333">
        <v>34.71</v>
      </c>
      <c r="X333">
        <f t="shared" si="63"/>
        <v>581.39250000000015</v>
      </c>
      <c r="Y333">
        <f t="shared" si="64"/>
        <v>581.39250000000015</v>
      </c>
      <c r="Z333">
        <f t="shared" si="65"/>
        <v>0</v>
      </c>
      <c r="AB333" t="s">
        <v>419</v>
      </c>
      <c r="AE333" t="s">
        <v>420</v>
      </c>
    </row>
    <row r="334" spans="4:31" x14ac:dyDescent="0.25">
      <c r="D334" t="s">
        <v>464</v>
      </c>
      <c r="E334" t="s">
        <v>417</v>
      </c>
      <c r="F334">
        <v>5.75</v>
      </c>
      <c r="G334">
        <v>5.75</v>
      </c>
      <c r="H334">
        <v>1</v>
      </c>
      <c r="I334">
        <f t="shared" si="55"/>
        <v>0</v>
      </c>
      <c r="J334">
        <v>1</v>
      </c>
      <c r="K334">
        <f t="shared" si="56"/>
        <v>5.75</v>
      </c>
      <c r="L334" t="s">
        <v>418</v>
      </c>
      <c r="N334">
        <f t="shared" si="66"/>
        <v>254.96328</v>
      </c>
      <c r="O334">
        <f t="shared" si="58"/>
        <v>0.56146100955894684</v>
      </c>
      <c r="P334" t="s">
        <v>39</v>
      </c>
      <c r="Q334">
        <f t="shared" si="59"/>
        <v>4.3478260869565215</v>
      </c>
      <c r="R334">
        <f t="shared" si="60"/>
        <v>25</v>
      </c>
      <c r="S334">
        <f t="shared" si="61"/>
        <v>25</v>
      </c>
      <c r="T334">
        <v>25</v>
      </c>
      <c r="U334">
        <f t="shared" si="62"/>
        <v>0</v>
      </c>
      <c r="V334">
        <v>0.67</v>
      </c>
      <c r="W334">
        <v>34.71</v>
      </c>
      <c r="X334">
        <f t="shared" si="63"/>
        <v>581.39250000000004</v>
      </c>
      <c r="Y334">
        <f t="shared" si="64"/>
        <v>581.39250000000004</v>
      </c>
      <c r="Z334">
        <f t="shared" si="65"/>
        <v>0</v>
      </c>
      <c r="AB334" t="s">
        <v>419</v>
      </c>
      <c r="AE334" t="s">
        <v>420</v>
      </c>
    </row>
    <row r="335" spans="4:31" x14ac:dyDescent="0.25">
      <c r="D335" t="s">
        <v>465</v>
      </c>
      <c r="E335" t="s">
        <v>417</v>
      </c>
      <c r="F335">
        <v>6.09</v>
      </c>
      <c r="G335">
        <v>6.09</v>
      </c>
      <c r="H335">
        <v>1</v>
      </c>
      <c r="I335">
        <f t="shared" si="55"/>
        <v>0</v>
      </c>
      <c r="J335">
        <v>1</v>
      </c>
      <c r="K335">
        <f t="shared" si="56"/>
        <v>6.09</v>
      </c>
      <c r="L335" t="s">
        <v>418</v>
      </c>
      <c r="N335">
        <f t="shared" si="66"/>
        <v>270.03936959999999</v>
      </c>
      <c r="O335">
        <f t="shared" si="58"/>
        <v>0.53553000838504117</v>
      </c>
      <c r="P335" t="s">
        <v>39</v>
      </c>
      <c r="Q335">
        <f t="shared" si="59"/>
        <v>4.1050903119868636</v>
      </c>
      <c r="R335">
        <f t="shared" si="60"/>
        <v>25</v>
      </c>
      <c r="S335">
        <f t="shared" si="61"/>
        <v>25</v>
      </c>
      <c r="T335">
        <v>25</v>
      </c>
      <c r="U335">
        <f t="shared" si="62"/>
        <v>0</v>
      </c>
      <c r="V335">
        <v>0.67</v>
      </c>
      <c r="W335">
        <v>34.71</v>
      </c>
      <c r="X335">
        <f t="shared" si="63"/>
        <v>581.39250000000004</v>
      </c>
      <c r="Y335">
        <f t="shared" si="64"/>
        <v>581.39250000000004</v>
      </c>
      <c r="Z335">
        <f t="shared" si="65"/>
        <v>0</v>
      </c>
      <c r="AB335" t="s">
        <v>419</v>
      </c>
      <c r="AE335" t="s">
        <v>420</v>
      </c>
    </row>
    <row r="336" spans="4:31" x14ac:dyDescent="0.25">
      <c r="D336" t="s">
        <v>466</v>
      </c>
      <c r="E336" t="s">
        <v>417</v>
      </c>
      <c r="F336">
        <v>6.37</v>
      </c>
      <c r="G336">
        <v>6.37</v>
      </c>
      <c r="H336">
        <v>1</v>
      </c>
      <c r="I336">
        <f t="shared" si="55"/>
        <v>0</v>
      </c>
      <c r="J336">
        <v>1</v>
      </c>
      <c r="K336">
        <f t="shared" si="56"/>
        <v>6.37</v>
      </c>
      <c r="L336" t="s">
        <v>418</v>
      </c>
      <c r="N336">
        <f t="shared" si="66"/>
        <v>282.45497280000001</v>
      </c>
      <c r="O336">
        <f t="shared" si="58"/>
        <v>0.51417506624182463</v>
      </c>
      <c r="P336" t="s">
        <v>39</v>
      </c>
      <c r="Q336">
        <f t="shared" si="59"/>
        <v>3.9246467817896389</v>
      </c>
      <c r="R336">
        <f t="shared" si="60"/>
        <v>25</v>
      </c>
      <c r="S336">
        <f t="shared" si="61"/>
        <v>25</v>
      </c>
      <c r="T336">
        <v>25</v>
      </c>
      <c r="U336">
        <f t="shared" si="62"/>
        <v>0</v>
      </c>
      <c r="V336">
        <v>0.67</v>
      </c>
      <c r="W336">
        <v>34.71</v>
      </c>
      <c r="X336">
        <f t="shared" si="63"/>
        <v>581.39250000000004</v>
      </c>
      <c r="Y336">
        <f t="shared" si="64"/>
        <v>581.39250000000004</v>
      </c>
      <c r="Z336">
        <f t="shared" si="65"/>
        <v>0</v>
      </c>
      <c r="AB336" t="s">
        <v>419</v>
      </c>
      <c r="AE336" t="s">
        <v>420</v>
      </c>
    </row>
    <row r="337" spans="4:31" x14ac:dyDescent="0.25">
      <c r="D337" t="s">
        <v>467</v>
      </c>
      <c r="E337" t="s">
        <v>417</v>
      </c>
      <c r="F337">
        <v>6.55</v>
      </c>
      <c r="G337">
        <v>6.55</v>
      </c>
      <c r="H337">
        <v>1</v>
      </c>
      <c r="I337">
        <f t="shared" si="55"/>
        <v>0</v>
      </c>
      <c r="J337">
        <v>1</v>
      </c>
      <c r="K337">
        <f t="shared" si="56"/>
        <v>6.55</v>
      </c>
      <c r="L337" t="s">
        <v>418</v>
      </c>
      <c r="N337">
        <f t="shared" si="66"/>
        <v>290.43643199999997</v>
      </c>
      <c r="O337">
        <f t="shared" si="58"/>
        <v>0.50044688914975688</v>
      </c>
      <c r="P337" t="s">
        <v>39</v>
      </c>
      <c r="Q337">
        <f t="shared" si="59"/>
        <v>3.8167938931297711</v>
      </c>
      <c r="R337">
        <f t="shared" si="60"/>
        <v>25</v>
      </c>
      <c r="S337">
        <f t="shared" si="61"/>
        <v>25</v>
      </c>
      <c r="T337">
        <v>25</v>
      </c>
      <c r="U337">
        <f t="shared" si="62"/>
        <v>0</v>
      </c>
      <c r="V337">
        <v>0.67</v>
      </c>
      <c r="W337">
        <v>34.71</v>
      </c>
      <c r="X337">
        <f t="shared" si="63"/>
        <v>581.39250000000004</v>
      </c>
      <c r="Y337">
        <f t="shared" si="64"/>
        <v>581.39250000000004</v>
      </c>
      <c r="Z337">
        <f t="shared" si="65"/>
        <v>0</v>
      </c>
      <c r="AB337" t="s">
        <v>419</v>
      </c>
      <c r="AE337" t="s">
        <v>420</v>
      </c>
    </row>
    <row r="338" spans="4:31" x14ac:dyDescent="0.25">
      <c r="D338" t="s">
        <v>468</v>
      </c>
      <c r="E338" t="s">
        <v>417</v>
      </c>
      <c r="F338">
        <v>6.73</v>
      </c>
      <c r="G338">
        <v>6.73</v>
      </c>
      <c r="H338">
        <v>1</v>
      </c>
      <c r="I338">
        <f t="shared" si="55"/>
        <v>0</v>
      </c>
      <c r="J338">
        <v>1</v>
      </c>
      <c r="K338">
        <f t="shared" si="56"/>
        <v>6.73</v>
      </c>
      <c r="L338" t="s">
        <v>418</v>
      </c>
      <c r="N338">
        <f t="shared" si="66"/>
        <v>298.41789119999999</v>
      </c>
      <c r="O338">
        <f t="shared" si="58"/>
        <v>0.48671871205768913</v>
      </c>
      <c r="P338" t="s">
        <v>39</v>
      </c>
      <c r="Q338">
        <f t="shared" si="59"/>
        <v>3.7147102526002969</v>
      </c>
      <c r="R338">
        <f t="shared" si="60"/>
        <v>25</v>
      </c>
      <c r="S338">
        <f t="shared" si="61"/>
        <v>25</v>
      </c>
      <c r="T338">
        <v>25</v>
      </c>
      <c r="U338">
        <f t="shared" si="62"/>
        <v>0</v>
      </c>
      <c r="V338">
        <v>0.67</v>
      </c>
      <c r="W338">
        <v>34.71</v>
      </c>
      <c r="X338">
        <f t="shared" si="63"/>
        <v>581.39250000000004</v>
      </c>
      <c r="Y338">
        <f t="shared" si="64"/>
        <v>581.39250000000004</v>
      </c>
      <c r="Z338">
        <f t="shared" si="65"/>
        <v>0</v>
      </c>
      <c r="AB338" t="s">
        <v>419</v>
      </c>
      <c r="AE338" t="s">
        <v>420</v>
      </c>
    </row>
    <row r="339" spans="4:31" x14ac:dyDescent="0.25">
      <c r="D339" t="s">
        <v>469</v>
      </c>
      <c r="E339" t="s">
        <v>417</v>
      </c>
      <c r="F339">
        <v>7.38</v>
      </c>
      <c r="G339">
        <v>7.38</v>
      </c>
      <c r="H339">
        <v>1</v>
      </c>
      <c r="I339">
        <f t="shared" si="55"/>
        <v>0</v>
      </c>
      <c r="J339">
        <v>1</v>
      </c>
      <c r="K339">
        <f t="shared" si="56"/>
        <v>7.38</v>
      </c>
      <c r="L339" t="s">
        <v>418</v>
      </c>
      <c r="N339">
        <f t="shared" si="66"/>
        <v>327.23982719999992</v>
      </c>
      <c r="O339">
        <f t="shared" si="58"/>
        <v>0.4371447392252224</v>
      </c>
      <c r="P339" t="s">
        <v>39</v>
      </c>
      <c r="Q339">
        <f t="shared" si="59"/>
        <v>3.3875338753387534</v>
      </c>
      <c r="R339">
        <f t="shared" si="60"/>
        <v>25</v>
      </c>
      <c r="S339">
        <f t="shared" si="61"/>
        <v>25</v>
      </c>
      <c r="T339">
        <v>25</v>
      </c>
      <c r="U339">
        <f t="shared" si="62"/>
        <v>0</v>
      </c>
      <c r="V339">
        <v>0.67</v>
      </c>
      <c r="W339">
        <v>34.71</v>
      </c>
      <c r="X339">
        <f t="shared" si="63"/>
        <v>581.39250000000004</v>
      </c>
      <c r="Y339">
        <f t="shared" si="64"/>
        <v>581.39250000000004</v>
      </c>
      <c r="Z339">
        <f t="shared" si="65"/>
        <v>0</v>
      </c>
      <c r="AB339" t="s">
        <v>419</v>
      </c>
      <c r="AE339" t="s">
        <v>420</v>
      </c>
    </row>
    <row r="340" spans="4:31" x14ac:dyDescent="0.25">
      <c r="D340" t="s">
        <v>470</v>
      </c>
      <c r="E340" t="s">
        <v>417</v>
      </c>
      <c r="F340">
        <v>7.91</v>
      </c>
      <c r="G340">
        <v>7.91</v>
      </c>
      <c r="H340">
        <v>1</v>
      </c>
      <c r="I340">
        <f t="shared" si="55"/>
        <v>0</v>
      </c>
      <c r="J340">
        <v>1</v>
      </c>
      <c r="K340">
        <f t="shared" si="56"/>
        <v>7.91</v>
      </c>
      <c r="L340" t="s">
        <v>418</v>
      </c>
      <c r="N340">
        <f t="shared" si="66"/>
        <v>350.74079039999998</v>
      </c>
      <c r="O340">
        <f t="shared" si="58"/>
        <v>0.3967228844541339</v>
      </c>
      <c r="P340" t="s">
        <v>39</v>
      </c>
      <c r="Q340">
        <f t="shared" si="59"/>
        <v>3.1605562579013906</v>
      </c>
      <c r="R340">
        <f t="shared" si="60"/>
        <v>25</v>
      </c>
      <c r="S340">
        <f t="shared" si="61"/>
        <v>25</v>
      </c>
      <c r="T340">
        <v>25</v>
      </c>
      <c r="U340">
        <f t="shared" si="62"/>
        <v>0</v>
      </c>
      <c r="V340">
        <v>0.67</v>
      </c>
      <c r="W340">
        <v>34.71</v>
      </c>
      <c r="X340">
        <f t="shared" si="63"/>
        <v>581.39250000000004</v>
      </c>
      <c r="Y340">
        <f t="shared" si="64"/>
        <v>581.39250000000004</v>
      </c>
      <c r="Z340">
        <f t="shared" si="65"/>
        <v>0</v>
      </c>
      <c r="AB340" t="s">
        <v>419</v>
      </c>
      <c r="AE340" t="s">
        <v>420</v>
      </c>
    </row>
    <row r="341" spans="4:31" x14ac:dyDescent="0.25">
      <c r="D341" t="s">
        <v>471</v>
      </c>
      <c r="E341" t="s">
        <v>417</v>
      </c>
      <c r="F341">
        <v>7.78</v>
      </c>
      <c r="G341">
        <v>7.78</v>
      </c>
      <c r="H341">
        <v>1</v>
      </c>
      <c r="I341">
        <f t="shared" si="55"/>
        <v>0</v>
      </c>
      <c r="J341">
        <v>1</v>
      </c>
      <c r="K341">
        <f t="shared" si="56"/>
        <v>7.78</v>
      </c>
      <c r="L341" t="s">
        <v>418</v>
      </c>
      <c r="N341">
        <f t="shared" si="66"/>
        <v>344.97640319999999</v>
      </c>
      <c r="O341">
        <f t="shared" si="58"/>
        <v>0.42945930675060318</v>
      </c>
      <c r="P341" t="s">
        <v>39</v>
      </c>
      <c r="Q341">
        <f t="shared" si="59"/>
        <v>3.3419023136246784</v>
      </c>
      <c r="R341">
        <f t="shared" si="60"/>
        <v>26</v>
      </c>
      <c r="S341">
        <f t="shared" si="61"/>
        <v>26</v>
      </c>
      <c r="T341">
        <v>26</v>
      </c>
      <c r="U341">
        <f t="shared" si="62"/>
        <v>0</v>
      </c>
      <c r="V341">
        <v>0.67</v>
      </c>
      <c r="W341">
        <v>34.71</v>
      </c>
      <c r="X341">
        <f t="shared" si="63"/>
        <v>604.64820000000009</v>
      </c>
      <c r="Y341">
        <f t="shared" si="64"/>
        <v>604.64820000000009</v>
      </c>
      <c r="Z341">
        <f t="shared" si="65"/>
        <v>0</v>
      </c>
      <c r="AB341" t="s">
        <v>419</v>
      </c>
      <c r="AE341" t="s">
        <v>420</v>
      </c>
    </row>
    <row r="342" spans="4:31" x14ac:dyDescent="0.25">
      <c r="D342" t="s">
        <v>472</v>
      </c>
      <c r="E342" t="s">
        <v>417</v>
      </c>
      <c r="F342">
        <v>8.99</v>
      </c>
      <c r="G342">
        <v>8.99</v>
      </c>
      <c r="H342">
        <v>1</v>
      </c>
      <c r="I342">
        <f t="shared" si="55"/>
        <v>0</v>
      </c>
      <c r="J342">
        <v>1</v>
      </c>
      <c r="K342">
        <f t="shared" si="56"/>
        <v>8.99</v>
      </c>
      <c r="L342" t="s">
        <v>418</v>
      </c>
      <c r="N342">
        <f t="shared" si="66"/>
        <v>398.62954559999997</v>
      </c>
      <c r="O342">
        <f t="shared" si="58"/>
        <v>0.34072482875166105</v>
      </c>
      <c r="P342" t="s">
        <v>39</v>
      </c>
      <c r="Q342">
        <f t="shared" si="59"/>
        <v>2.8921023359288096</v>
      </c>
      <c r="R342">
        <f t="shared" si="60"/>
        <v>26</v>
      </c>
      <c r="S342">
        <f t="shared" si="61"/>
        <v>26</v>
      </c>
      <c r="T342">
        <v>26</v>
      </c>
      <c r="U342">
        <f t="shared" si="62"/>
        <v>0</v>
      </c>
      <c r="V342">
        <v>0.67</v>
      </c>
      <c r="W342">
        <v>34.71</v>
      </c>
      <c r="X342">
        <f t="shared" si="63"/>
        <v>604.64820000000009</v>
      </c>
      <c r="Y342">
        <f t="shared" si="64"/>
        <v>604.64820000000009</v>
      </c>
      <c r="Z342">
        <f t="shared" si="65"/>
        <v>0</v>
      </c>
      <c r="AB342" t="s">
        <v>419</v>
      </c>
      <c r="AE342" t="s">
        <v>420</v>
      </c>
    </row>
    <row r="343" spans="4:31" x14ac:dyDescent="0.25">
      <c r="D343" t="s">
        <v>473</v>
      </c>
      <c r="E343" t="s">
        <v>417</v>
      </c>
      <c r="F343">
        <v>9.61</v>
      </c>
      <c r="G343">
        <v>9.61</v>
      </c>
      <c r="H343">
        <v>1</v>
      </c>
      <c r="I343">
        <f t="shared" si="55"/>
        <v>0</v>
      </c>
      <c r="J343">
        <v>1</v>
      </c>
      <c r="K343">
        <f t="shared" si="56"/>
        <v>9.61</v>
      </c>
      <c r="L343" t="s">
        <v>418</v>
      </c>
      <c r="N343">
        <f t="shared" si="66"/>
        <v>426.12123839999992</v>
      </c>
      <c r="O343">
        <f t="shared" si="58"/>
        <v>0.32135914683759742</v>
      </c>
      <c r="P343" t="s">
        <v>39</v>
      </c>
      <c r="Q343">
        <f t="shared" si="59"/>
        <v>2.8095733610822062</v>
      </c>
      <c r="R343">
        <f t="shared" si="60"/>
        <v>27</v>
      </c>
      <c r="S343">
        <f t="shared" si="61"/>
        <v>27</v>
      </c>
      <c r="T343">
        <v>27</v>
      </c>
      <c r="U343">
        <f t="shared" si="62"/>
        <v>0</v>
      </c>
      <c r="V343">
        <v>0.67</v>
      </c>
      <c r="W343">
        <v>34.71</v>
      </c>
      <c r="X343">
        <f t="shared" si="63"/>
        <v>627.90390000000002</v>
      </c>
      <c r="Y343">
        <f t="shared" si="64"/>
        <v>627.90390000000014</v>
      </c>
      <c r="Z343">
        <f t="shared" si="65"/>
        <v>1.8105770281346561E-16</v>
      </c>
      <c r="AB343" t="s">
        <v>419</v>
      </c>
      <c r="AE343" t="s">
        <v>420</v>
      </c>
    </row>
    <row r="344" spans="4:31" x14ac:dyDescent="0.25">
      <c r="D344" t="s">
        <v>474</v>
      </c>
      <c r="E344" t="s">
        <v>417</v>
      </c>
      <c r="F344">
        <v>9.75</v>
      </c>
      <c r="G344">
        <v>9.75</v>
      </c>
      <c r="H344">
        <v>1</v>
      </c>
      <c r="I344">
        <f t="shared" si="55"/>
        <v>0</v>
      </c>
      <c r="J344">
        <v>1</v>
      </c>
      <c r="K344">
        <f t="shared" si="56"/>
        <v>9.75</v>
      </c>
      <c r="L344" t="s">
        <v>418</v>
      </c>
      <c r="N344">
        <f t="shared" si="66"/>
        <v>432.32903999999996</v>
      </c>
      <c r="O344">
        <f t="shared" si="58"/>
        <v>0.31147259954907119</v>
      </c>
      <c r="P344" t="s">
        <v>39</v>
      </c>
      <c r="Q344">
        <f t="shared" si="59"/>
        <v>2.7692307692307692</v>
      </c>
      <c r="R344">
        <f t="shared" si="60"/>
        <v>27</v>
      </c>
      <c r="S344">
        <f t="shared" si="61"/>
        <v>27</v>
      </c>
      <c r="T344">
        <v>27</v>
      </c>
      <c r="U344">
        <f t="shared" si="62"/>
        <v>0</v>
      </c>
      <c r="V344">
        <v>0.67</v>
      </c>
      <c r="W344">
        <v>34.71</v>
      </c>
      <c r="X344">
        <f t="shared" si="63"/>
        <v>627.90390000000002</v>
      </c>
      <c r="Y344">
        <f t="shared" si="64"/>
        <v>627.90390000000014</v>
      </c>
      <c r="Z344">
        <f t="shared" si="65"/>
        <v>1.8105770281346561E-16</v>
      </c>
      <c r="AB344" t="s">
        <v>419</v>
      </c>
      <c r="AE344" t="s">
        <v>420</v>
      </c>
    </row>
    <row r="345" spans="4:31" x14ac:dyDescent="0.25">
      <c r="D345" t="s">
        <v>475</v>
      </c>
      <c r="E345" t="s">
        <v>417</v>
      </c>
      <c r="F345">
        <v>9.74</v>
      </c>
      <c r="G345">
        <v>9.74</v>
      </c>
      <c r="H345">
        <v>1</v>
      </c>
      <c r="I345">
        <f t="shared" si="55"/>
        <v>0</v>
      </c>
      <c r="J345">
        <v>1</v>
      </c>
      <c r="K345">
        <f t="shared" si="56"/>
        <v>9.74</v>
      </c>
      <c r="L345" t="s">
        <v>418</v>
      </c>
      <c r="N345">
        <f t="shared" si="66"/>
        <v>431.88562559999997</v>
      </c>
      <c r="O345">
        <f t="shared" si="58"/>
        <v>0.41965084688914983</v>
      </c>
      <c r="P345" t="s">
        <v>39</v>
      </c>
      <c r="Q345">
        <f t="shared" si="59"/>
        <v>3.2854209445585214</v>
      </c>
      <c r="R345">
        <f t="shared" si="60"/>
        <v>32</v>
      </c>
      <c r="S345">
        <f t="shared" si="61"/>
        <v>32</v>
      </c>
      <c r="T345">
        <v>32</v>
      </c>
      <c r="U345">
        <f t="shared" si="62"/>
        <v>0</v>
      </c>
      <c r="V345">
        <v>0.67</v>
      </c>
      <c r="W345">
        <v>34.71</v>
      </c>
      <c r="X345">
        <f t="shared" si="63"/>
        <v>744.18240000000003</v>
      </c>
      <c r="Y345">
        <f t="shared" si="64"/>
        <v>744.18240000000003</v>
      </c>
      <c r="Z345">
        <f t="shared" si="65"/>
        <v>0</v>
      </c>
      <c r="AB345" t="s">
        <v>419</v>
      </c>
      <c r="AE345" t="s">
        <v>420</v>
      </c>
    </row>
    <row r="346" spans="4:31" x14ac:dyDescent="0.25">
      <c r="D346" t="s">
        <v>476</v>
      </c>
      <c r="E346" t="s">
        <v>417</v>
      </c>
      <c r="F346">
        <v>10.24</v>
      </c>
      <c r="G346">
        <v>10.24</v>
      </c>
      <c r="H346">
        <v>1</v>
      </c>
      <c r="I346">
        <f t="shared" si="55"/>
        <v>0</v>
      </c>
      <c r="J346">
        <v>1</v>
      </c>
      <c r="K346">
        <f t="shared" si="56"/>
        <v>10.24</v>
      </c>
      <c r="L346" t="s">
        <v>418</v>
      </c>
      <c r="N346">
        <f t="shared" si="66"/>
        <v>454.05634559999999</v>
      </c>
      <c r="O346">
        <f t="shared" si="58"/>
        <v>0.40834792330482428</v>
      </c>
      <c r="P346" t="s">
        <v>39</v>
      </c>
      <c r="Q346">
        <f t="shared" si="59"/>
        <v>3.22265625</v>
      </c>
      <c r="R346">
        <f t="shared" si="60"/>
        <v>33</v>
      </c>
      <c r="S346">
        <f t="shared" si="61"/>
        <v>33</v>
      </c>
      <c r="T346">
        <v>33</v>
      </c>
      <c r="U346">
        <f t="shared" si="62"/>
        <v>0</v>
      </c>
      <c r="V346">
        <v>0.67</v>
      </c>
      <c r="W346">
        <v>34.71</v>
      </c>
      <c r="X346">
        <f t="shared" si="63"/>
        <v>767.43810000000008</v>
      </c>
      <c r="Y346">
        <f t="shared" si="64"/>
        <v>767.43810000000008</v>
      </c>
      <c r="Z346">
        <f t="shared" si="65"/>
        <v>0</v>
      </c>
      <c r="AB346" t="s">
        <v>419</v>
      </c>
      <c r="AE346" t="s">
        <v>420</v>
      </c>
    </row>
    <row r="347" spans="4:31" x14ac:dyDescent="0.25">
      <c r="D347" t="s">
        <v>477</v>
      </c>
      <c r="E347" t="s">
        <v>417</v>
      </c>
      <c r="F347">
        <v>11.42</v>
      </c>
      <c r="G347">
        <v>11.42</v>
      </c>
      <c r="H347">
        <v>1</v>
      </c>
      <c r="I347">
        <f t="shared" si="55"/>
        <v>0</v>
      </c>
      <c r="J347">
        <v>1</v>
      </c>
      <c r="K347">
        <f t="shared" si="56"/>
        <v>11.42</v>
      </c>
      <c r="L347" t="s">
        <v>418</v>
      </c>
      <c r="N347">
        <f t="shared" si="66"/>
        <v>506.37924479999998</v>
      </c>
      <c r="O347">
        <f t="shared" si="58"/>
        <v>0.37787387939915207</v>
      </c>
      <c r="P347" t="s">
        <v>39</v>
      </c>
      <c r="Q347">
        <f t="shared" si="59"/>
        <v>3.0647985989492121</v>
      </c>
      <c r="R347">
        <f t="shared" si="60"/>
        <v>35</v>
      </c>
      <c r="S347">
        <f t="shared" si="61"/>
        <v>35</v>
      </c>
      <c r="T347">
        <v>35</v>
      </c>
      <c r="U347">
        <f t="shared" si="62"/>
        <v>0</v>
      </c>
      <c r="V347">
        <v>0.67</v>
      </c>
      <c r="W347">
        <v>34.71</v>
      </c>
      <c r="X347">
        <f t="shared" si="63"/>
        <v>813.94950000000017</v>
      </c>
      <c r="Y347">
        <f t="shared" si="64"/>
        <v>813.94950000000017</v>
      </c>
      <c r="Z347">
        <f t="shared" si="65"/>
        <v>0</v>
      </c>
      <c r="AB347" t="s">
        <v>419</v>
      </c>
      <c r="AE347" t="s">
        <v>420</v>
      </c>
    </row>
    <row r="348" spans="4:31" x14ac:dyDescent="0.25">
      <c r="D348" t="s">
        <v>478</v>
      </c>
      <c r="E348" t="s">
        <v>417</v>
      </c>
      <c r="F348">
        <v>12.46</v>
      </c>
      <c r="G348">
        <v>12.46</v>
      </c>
      <c r="H348">
        <v>1</v>
      </c>
      <c r="I348">
        <f t="shared" si="55"/>
        <v>0</v>
      </c>
      <c r="J348">
        <v>1</v>
      </c>
      <c r="K348">
        <f t="shared" si="56"/>
        <v>12.46</v>
      </c>
      <c r="L348" t="s">
        <v>418</v>
      </c>
      <c r="N348">
        <f t="shared" si="66"/>
        <v>552.49434239999994</v>
      </c>
      <c r="O348">
        <f t="shared" si="58"/>
        <v>0.35790883420734187</v>
      </c>
      <c r="P348" t="s">
        <v>39</v>
      </c>
      <c r="Q348">
        <f t="shared" si="59"/>
        <v>2.9695024077046548</v>
      </c>
      <c r="R348">
        <f t="shared" si="60"/>
        <v>37</v>
      </c>
      <c r="S348">
        <f t="shared" si="61"/>
        <v>37</v>
      </c>
      <c r="T348">
        <v>37</v>
      </c>
      <c r="U348">
        <f t="shared" si="62"/>
        <v>0</v>
      </c>
      <c r="V348">
        <v>0.67</v>
      </c>
      <c r="W348">
        <v>34.71</v>
      </c>
      <c r="X348">
        <f t="shared" si="63"/>
        <v>860.46090000000015</v>
      </c>
      <c r="Y348">
        <f t="shared" si="64"/>
        <v>860.46090000000004</v>
      </c>
      <c r="Z348">
        <f t="shared" si="65"/>
        <v>-1.3212318853955595E-16</v>
      </c>
      <c r="AB348" t="s">
        <v>419</v>
      </c>
      <c r="AE348" t="s">
        <v>420</v>
      </c>
    </row>
    <row r="349" spans="4:31" x14ac:dyDescent="0.25">
      <c r="D349" t="s">
        <v>479</v>
      </c>
      <c r="E349" t="s">
        <v>417</v>
      </c>
      <c r="F349">
        <v>12.5</v>
      </c>
      <c r="G349">
        <v>12.5</v>
      </c>
      <c r="H349">
        <v>1</v>
      </c>
      <c r="I349">
        <f t="shared" ref="I349:I412" si="67">(G349-F349)/F349</f>
        <v>0</v>
      </c>
      <c r="J349">
        <v>1</v>
      </c>
      <c r="K349">
        <f t="shared" ref="K349:K412" si="68">F349*H349*J349</f>
        <v>12.5</v>
      </c>
      <c r="L349" t="s">
        <v>418</v>
      </c>
      <c r="N349">
        <f t="shared" si="66"/>
        <v>554.26799999999992</v>
      </c>
      <c r="O349">
        <f t="shared" ref="O349:O412" si="69">(X349-N349)/X349</f>
        <v>0.37279892671474107</v>
      </c>
      <c r="P349" t="s">
        <v>39</v>
      </c>
      <c r="Q349">
        <f t="shared" ref="Q349:Q412" si="70">T349/F349</f>
        <v>3.04</v>
      </c>
      <c r="R349">
        <f t="shared" ref="R349:R412" si="71">F349*Q349</f>
        <v>38</v>
      </c>
      <c r="S349">
        <f t="shared" ref="S349:S412" si="72">G349*Q349</f>
        <v>38</v>
      </c>
      <c r="T349">
        <v>38</v>
      </c>
      <c r="U349">
        <f t="shared" ref="U349:U412" si="73">(T349-R349)/R349</f>
        <v>0</v>
      </c>
      <c r="V349">
        <v>0.67</v>
      </c>
      <c r="W349">
        <v>34.71</v>
      </c>
      <c r="X349">
        <f t="shared" ref="X349:X412" si="74">R349*V349*W349</f>
        <v>883.71660000000008</v>
      </c>
      <c r="Y349">
        <f t="shared" ref="Y349:Y412" si="75">S349*W349*V349</f>
        <v>883.71660000000008</v>
      </c>
      <c r="Z349">
        <f t="shared" ref="Z349:Z412" si="76">(Y349-X349)/X349</f>
        <v>0</v>
      </c>
      <c r="AB349" t="s">
        <v>419</v>
      </c>
      <c r="AE349" t="s">
        <v>420</v>
      </c>
    </row>
    <row r="350" spans="4:31" x14ac:dyDescent="0.25">
      <c r="D350" t="s">
        <v>480</v>
      </c>
      <c r="E350" t="s">
        <v>417</v>
      </c>
      <c r="F350">
        <v>14.2</v>
      </c>
      <c r="G350">
        <v>14.2</v>
      </c>
      <c r="H350">
        <v>1</v>
      </c>
      <c r="I350">
        <f t="shared" si="67"/>
        <v>0</v>
      </c>
      <c r="J350">
        <v>1</v>
      </c>
      <c r="K350">
        <f t="shared" si="68"/>
        <v>14.2</v>
      </c>
      <c r="L350" t="s">
        <v>418</v>
      </c>
      <c r="N350">
        <f t="shared" si="66"/>
        <v>629.64844799999992</v>
      </c>
      <c r="O350">
        <f t="shared" si="69"/>
        <v>0.33963375776638882</v>
      </c>
      <c r="P350" t="s">
        <v>39</v>
      </c>
      <c r="Q350">
        <f t="shared" si="70"/>
        <v>2.887323943661972</v>
      </c>
      <c r="R350">
        <f t="shared" si="71"/>
        <v>41</v>
      </c>
      <c r="S350">
        <f t="shared" si="72"/>
        <v>41</v>
      </c>
      <c r="T350">
        <v>41</v>
      </c>
      <c r="U350">
        <f t="shared" si="73"/>
        <v>0</v>
      </c>
      <c r="V350">
        <v>0.67</v>
      </c>
      <c r="W350">
        <v>34.71</v>
      </c>
      <c r="X350">
        <f t="shared" si="74"/>
        <v>953.48370000000011</v>
      </c>
      <c r="Y350">
        <f t="shared" si="75"/>
        <v>953.48370000000011</v>
      </c>
      <c r="Z350">
        <f t="shared" si="76"/>
        <v>0</v>
      </c>
      <c r="AB350" t="s">
        <v>419</v>
      </c>
      <c r="AE350" t="s">
        <v>420</v>
      </c>
    </row>
    <row r="351" spans="4:31" x14ac:dyDescent="0.25">
      <c r="D351" t="s">
        <v>481</v>
      </c>
      <c r="E351" t="s">
        <v>417</v>
      </c>
      <c r="F351">
        <v>14.99</v>
      </c>
      <c r="G351">
        <v>14.99</v>
      </c>
      <c r="H351">
        <v>1</v>
      </c>
      <c r="I351">
        <f t="shared" si="67"/>
        <v>0</v>
      </c>
      <c r="J351">
        <v>1</v>
      </c>
      <c r="K351">
        <f t="shared" si="68"/>
        <v>14.99</v>
      </c>
      <c r="L351" t="s">
        <v>418</v>
      </c>
      <c r="N351">
        <f t="shared" si="66"/>
        <v>664.67818560000001</v>
      </c>
      <c r="O351">
        <f t="shared" si="69"/>
        <v>0.37866734719174044</v>
      </c>
      <c r="P351" t="s">
        <v>39</v>
      </c>
      <c r="Q351">
        <f t="shared" si="70"/>
        <v>3.0687124749833221</v>
      </c>
      <c r="R351">
        <f t="shared" si="71"/>
        <v>46</v>
      </c>
      <c r="S351">
        <f t="shared" si="72"/>
        <v>46</v>
      </c>
      <c r="T351">
        <v>46</v>
      </c>
      <c r="U351">
        <f t="shared" si="73"/>
        <v>0</v>
      </c>
      <c r="V351">
        <v>0.67</v>
      </c>
      <c r="W351">
        <v>34.71</v>
      </c>
      <c r="X351">
        <f t="shared" si="74"/>
        <v>1069.7622000000001</v>
      </c>
      <c r="Y351">
        <f t="shared" si="75"/>
        <v>1069.7622000000001</v>
      </c>
      <c r="Z351">
        <f t="shared" si="76"/>
        <v>0</v>
      </c>
      <c r="AB351" t="s">
        <v>419</v>
      </c>
      <c r="AE351" t="s">
        <v>420</v>
      </c>
    </row>
    <row r="352" spans="4:31" x14ac:dyDescent="0.25">
      <c r="D352" t="s">
        <v>482</v>
      </c>
      <c r="E352" t="s">
        <v>417</v>
      </c>
      <c r="F352">
        <v>17.73</v>
      </c>
      <c r="G352">
        <v>17.73</v>
      </c>
      <c r="H352">
        <v>1</v>
      </c>
      <c r="I352">
        <f t="shared" si="67"/>
        <v>0</v>
      </c>
      <c r="J352">
        <v>1</v>
      </c>
      <c r="K352">
        <f t="shared" si="68"/>
        <v>17.73</v>
      </c>
      <c r="L352" t="s">
        <v>418</v>
      </c>
      <c r="N352">
        <f t="shared" si="66"/>
        <v>786.17373119999991</v>
      </c>
      <c r="O352">
        <f t="shared" si="69"/>
        <v>0.38535207110514846</v>
      </c>
      <c r="P352" t="s">
        <v>39</v>
      </c>
      <c r="Q352">
        <f t="shared" si="70"/>
        <v>3.102086858432036</v>
      </c>
      <c r="R352">
        <f t="shared" si="71"/>
        <v>55</v>
      </c>
      <c r="S352">
        <f t="shared" si="72"/>
        <v>55</v>
      </c>
      <c r="T352">
        <v>55</v>
      </c>
      <c r="U352">
        <f t="shared" si="73"/>
        <v>0</v>
      </c>
      <c r="V352">
        <v>0.67</v>
      </c>
      <c r="W352">
        <v>34.71</v>
      </c>
      <c r="X352">
        <f t="shared" si="74"/>
        <v>1279.0635</v>
      </c>
      <c r="Y352">
        <f t="shared" si="75"/>
        <v>1279.0635</v>
      </c>
      <c r="Z352">
        <f t="shared" si="76"/>
        <v>0</v>
      </c>
      <c r="AB352" t="s">
        <v>419</v>
      </c>
      <c r="AE352" t="s">
        <v>420</v>
      </c>
    </row>
    <row r="353" spans="4:31" x14ac:dyDescent="0.25">
      <c r="D353" t="s">
        <v>483</v>
      </c>
      <c r="E353" t="s">
        <v>417</v>
      </c>
      <c r="F353">
        <v>19.920000000000002</v>
      </c>
      <c r="G353">
        <v>19.920000000000002</v>
      </c>
      <c r="H353">
        <v>1</v>
      </c>
      <c r="I353">
        <f t="shared" si="67"/>
        <v>0</v>
      </c>
      <c r="J353">
        <v>1</v>
      </c>
      <c r="K353">
        <f t="shared" si="68"/>
        <v>19.920000000000002</v>
      </c>
      <c r="L353" t="s">
        <v>418</v>
      </c>
      <c r="N353">
        <f t="shared" si="66"/>
        <v>883.28148480000004</v>
      </c>
      <c r="O353">
        <f t="shared" si="69"/>
        <v>0.36697850075465371</v>
      </c>
      <c r="P353" t="s">
        <v>39</v>
      </c>
      <c r="Q353">
        <f t="shared" si="70"/>
        <v>3.012048192771084</v>
      </c>
      <c r="R353">
        <f t="shared" si="71"/>
        <v>60</v>
      </c>
      <c r="S353">
        <f t="shared" si="72"/>
        <v>60</v>
      </c>
      <c r="T353">
        <v>60</v>
      </c>
      <c r="U353">
        <f t="shared" si="73"/>
        <v>0</v>
      </c>
      <c r="V353">
        <v>0.67</v>
      </c>
      <c r="W353">
        <v>34.71</v>
      </c>
      <c r="X353">
        <f t="shared" si="74"/>
        <v>1395.3420000000001</v>
      </c>
      <c r="Y353">
        <f t="shared" si="75"/>
        <v>1395.3420000000001</v>
      </c>
      <c r="Z353">
        <f t="shared" si="76"/>
        <v>0</v>
      </c>
      <c r="AB353" t="s">
        <v>419</v>
      </c>
      <c r="AE353" t="s">
        <v>420</v>
      </c>
    </row>
    <row r="354" spans="4:31" x14ac:dyDescent="0.25">
      <c r="D354" t="s">
        <v>484</v>
      </c>
      <c r="E354" t="s">
        <v>417</v>
      </c>
      <c r="F354">
        <v>21.86</v>
      </c>
      <c r="G354">
        <v>21.86</v>
      </c>
      <c r="H354">
        <v>1</v>
      </c>
      <c r="I354">
        <f t="shared" si="67"/>
        <v>0</v>
      </c>
      <c r="J354">
        <v>1</v>
      </c>
      <c r="K354">
        <f t="shared" si="68"/>
        <v>21.86</v>
      </c>
      <c r="L354" t="s">
        <v>418</v>
      </c>
      <c r="N354">
        <f t="shared" ref="N354:N385" si="77">K354*$N$3*$O$3</f>
        <v>969.30387839999992</v>
      </c>
      <c r="O354">
        <f t="shared" si="69"/>
        <v>0.31671686877823096</v>
      </c>
      <c r="P354" t="s">
        <v>39</v>
      </c>
      <c r="Q354">
        <f t="shared" si="70"/>
        <v>2.7904849039341264</v>
      </c>
      <c r="R354">
        <f t="shared" si="71"/>
        <v>61</v>
      </c>
      <c r="S354">
        <f t="shared" si="72"/>
        <v>61</v>
      </c>
      <c r="T354">
        <v>61</v>
      </c>
      <c r="U354">
        <f t="shared" si="73"/>
        <v>0</v>
      </c>
      <c r="V354">
        <v>0.67</v>
      </c>
      <c r="W354">
        <v>34.71</v>
      </c>
      <c r="X354">
        <f t="shared" si="74"/>
        <v>1418.5977000000003</v>
      </c>
      <c r="Y354">
        <f t="shared" si="75"/>
        <v>1418.5977</v>
      </c>
      <c r="Z354">
        <f t="shared" si="76"/>
        <v>-1.6028058937585479E-16</v>
      </c>
      <c r="AB354" t="s">
        <v>419</v>
      </c>
      <c r="AE354" t="s">
        <v>420</v>
      </c>
    </row>
    <row r="355" spans="4:31" x14ac:dyDescent="0.25">
      <c r="D355" t="s">
        <v>485</v>
      </c>
      <c r="E355" t="s">
        <v>417</v>
      </c>
      <c r="F355">
        <v>23.2</v>
      </c>
      <c r="G355">
        <v>23.2</v>
      </c>
      <c r="H355">
        <v>1</v>
      </c>
      <c r="I355">
        <f t="shared" si="67"/>
        <v>0</v>
      </c>
      <c r="J355">
        <v>1</v>
      </c>
      <c r="K355">
        <f t="shared" si="68"/>
        <v>23.2</v>
      </c>
      <c r="L355" t="s">
        <v>418</v>
      </c>
      <c r="N355">
        <f t="shared" si="77"/>
        <v>1028.7214079999999</v>
      </c>
      <c r="O355">
        <f t="shared" si="69"/>
        <v>0.3088244172396446</v>
      </c>
      <c r="P355" t="s">
        <v>39</v>
      </c>
      <c r="Q355">
        <f t="shared" si="70"/>
        <v>2.7586206896551726</v>
      </c>
      <c r="R355">
        <f t="shared" si="71"/>
        <v>64</v>
      </c>
      <c r="S355">
        <f t="shared" si="72"/>
        <v>64</v>
      </c>
      <c r="T355">
        <v>64</v>
      </c>
      <c r="U355">
        <f t="shared" si="73"/>
        <v>0</v>
      </c>
      <c r="V355">
        <v>0.67</v>
      </c>
      <c r="W355">
        <v>34.71</v>
      </c>
      <c r="X355">
        <f t="shared" si="74"/>
        <v>1488.3648000000001</v>
      </c>
      <c r="Y355">
        <f t="shared" si="75"/>
        <v>1488.3648000000001</v>
      </c>
      <c r="Z355">
        <f t="shared" si="76"/>
        <v>0</v>
      </c>
      <c r="AB355" t="s">
        <v>419</v>
      </c>
      <c r="AE355" t="s">
        <v>420</v>
      </c>
    </row>
    <row r="356" spans="4:31" x14ac:dyDescent="0.25">
      <c r="D356" t="s">
        <v>486</v>
      </c>
      <c r="E356" t="s">
        <v>417</v>
      </c>
      <c r="F356">
        <v>32.270000000000003</v>
      </c>
      <c r="G356">
        <v>32.270000000000003</v>
      </c>
      <c r="H356">
        <v>1</v>
      </c>
      <c r="I356">
        <f t="shared" si="67"/>
        <v>0</v>
      </c>
      <c r="J356">
        <v>1</v>
      </c>
      <c r="K356">
        <f t="shared" si="68"/>
        <v>32.270000000000003</v>
      </c>
      <c r="L356" t="s">
        <v>418</v>
      </c>
      <c r="N356">
        <f t="shared" si="77"/>
        <v>1430.8982688000001</v>
      </c>
      <c r="O356">
        <f t="shared" si="69"/>
        <v>5.3401122305499371E-2</v>
      </c>
      <c r="P356" t="s">
        <v>39</v>
      </c>
      <c r="Q356">
        <f t="shared" si="70"/>
        <v>2.0142547257514716</v>
      </c>
      <c r="R356">
        <f t="shared" si="71"/>
        <v>65</v>
      </c>
      <c r="S356">
        <f t="shared" si="72"/>
        <v>65</v>
      </c>
      <c r="T356">
        <v>65</v>
      </c>
      <c r="U356">
        <f t="shared" si="73"/>
        <v>0</v>
      </c>
      <c r="V356">
        <v>0.67</v>
      </c>
      <c r="W356">
        <v>34.71</v>
      </c>
      <c r="X356">
        <f t="shared" si="74"/>
        <v>1511.6205000000002</v>
      </c>
      <c r="Y356">
        <f t="shared" si="75"/>
        <v>1511.6205000000002</v>
      </c>
      <c r="Z356">
        <f t="shared" si="76"/>
        <v>0</v>
      </c>
      <c r="AB356" t="s">
        <v>419</v>
      </c>
      <c r="AE356" t="s">
        <v>420</v>
      </c>
    </row>
    <row r="357" spans="4:31" x14ac:dyDescent="0.25">
      <c r="D357" t="s">
        <v>487</v>
      </c>
      <c r="E357" t="s">
        <v>417</v>
      </c>
      <c r="F357">
        <v>33.590000000000003</v>
      </c>
      <c r="G357">
        <v>33.590000000000003</v>
      </c>
      <c r="H357">
        <v>1</v>
      </c>
      <c r="I357">
        <f t="shared" si="67"/>
        <v>0</v>
      </c>
      <c r="J357">
        <v>1</v>
      </c>
      <c r="K357">
        <f t="shared" si="68"/>
        <v>33.590000000000003</v>
      </c>
      <c r="L357" t="s">
        <v>418</v>
      </c>
      <c r="N357">
        <f t="shared" si="77"/>
        <v>1489.4289696000001</v>
      </c>
      <c r="O357">
        <f t="shared" si="69"/>
        <v>4.4093141536990552E-2</v>
      </c>
      <c r="P357" t="s">
        <v>39</v>
      </c>
      <c r="Q357">
        <f t="shared" si="70"/>
        <v>1.9946412622804404</v>
      </c>
      <c r="R357">
        <f t="shared" si="71"/>
        <v>67</v>
      </c>
      <c r="S357">
        <f t="shared" si="72"/>
        <v>67</v>
      </c>
      <c r="T357">
        <v>67</v>
      </c>
      <c r="U357">
        <f t="shared" si="73"/>
        <v>0</v>
      </c>
      <c r="V357">
        <v>0.67</v>
      </c>
      <c r="W357">
        <v>34.71</v>
      </c>
      <c r="X357">
        <f t="shared" si="74"/>
        <v>1558.1319000000001</v>
      </c>
      <c r="Y357">
        <f t="shared" si="75"/>
        <v>1558.1319000000003</v>
      </c>
      <c r="Z357">
        <f t="shared" si="76"/>
        <v>1.4592710376010661E-16</v>
      </c>
      <c r="AB357" t="s">
        <v>419</v>
      </c>
      <c r="AE357" t="s">
        <v>420</v>
      </c>
    </row>
    <row r="358" spans="4:31" x14ac:dyDescent="0.25">
      <c r="D358" t="s">
        <v>488</v>
      </c>
      <c r="E358" t="s">
        <v>417</v>
      </c>
      <c r="F358">
        <v>35.93</v>
      </c>
      <c r="G358">
        <v>35.93</v>
      </c>
      <c r="H358">
        <v>1</v>
      </c>
      <c r="I358">
        <f t="shared" si="67"/>
        <v>0</v>
      </c>
      <c r="J358">
        <v>1</v>
      </c>
      <c r="K358">
        <f t="shared" si="68"/>
        <v>35.93</v>
      </c>
      <c r="L358" t="s">
        <v>418</v>
      </c>
      <c r="N358">
        <f t="shared" si="77"/>
        <v>1593.1879391999998</v>
      </c>
      <c r="O358">
        <f t="shared" si="69"/>
        <v>0.14365728660070448</v>
      </c>
      <c r="P358" t="s">
        <v>39</v>
      </c>
      <c r="Q358">
        <f t="shared" si="70"/>
        <v>2.2265516281658781</v>
      </c>
      <c r="R358">
        <f t="shared" si="71"/>
        <v>80</v>
      </c>
      <c r="S358">
        <f t="shared" si="72"/>
        <v>80</v>
      </c>
      <c r="T358">
        <v>80</v>
      </c>
      <c r="U358">
        <f t="shared" si="73"/>
        <v>0</v>
      </c>
      <c r="V358">
        <v>0.67</v>
      </c>
      <c r="W358">
        <v>34.71</v>
      </c>
      <c r="X358">
        <f t="shared" si="74"/>
        <v>1860.4560000000001</v>
      </c>
      <c r="Y358">
        <f t="shared" si="75"/>
        <v>1860.4560000000001</v>
      </c>
      <c r="Z358">
        <f t="shared" si="76"/>
        <v>0</v>
      </c>
      <c r="AB358" t="s">
        <v>419</v>
      </c>
      <c r="AE358" t="s">
        <v>420</v>
      </c>
    </row>
    <row r="359" spans="4:31" x14ac:dyDescent="0.25">
      <c r="D359" t="s">
        <v>489</v>
      </c>
      <c r="E359" t="s">
        <v>417</v>
      </c>
      <c r="F359">
        <v>7.51</v>
      </c>
      <c r="G359">
        <v>7.51</v>
      </c>
      <c r="H359">
        <v>1</v>
      </c>
      <c r="I359">
        <f t="shared" si="67"/>
        <v>0</v>
      </c>
      <c r="J359">
        <v>1</v>
      </c>
      <c r="K359">
        <f t="shared" si="68"/>
        <v>7.51</v>
      </c>
      <c r="L359" t="s">
        <v>418</v>
      </c>
      <c r="N359">
        <f t="shared" si="77"/>
        <v>333.00421439999997</v>
      </c>
      <c r="O359">
        <f t="shared" si="69"/>
        <v>0.20448603424823467</v>
      </c>
      <c r="P359" t="s">
        <v>39</v>
      </c>
      <c r="Q359">
        <f t="shared" si="70"/>
        <v>2.3968042609853528</v>
      </c>
      <c r="R359">
        <f t="shared" si="71"/>
        <v>18</v>
      </c>
      <c r="S359">
        <f t="shared" si="72"/>
        <v>18</v>
      </c>
      <c r="T359">
        <v>18</v>
      </c>
      <c r="U359">
        <f t="shared" si="73"/>
        <v>0</v>
      </c>
      <c r="V359">
        <v>0.67</v>
      </c>
      <c r="W359">
        <v>34.71</v>
      </c>
      <c r="X359">
        <f t="shared" si="74"/>
        <v>418.60260000000005</v>
      </c>
      <c r="Y359">
        <f t="shared" si="75"/>
        <v>418.6026</v>
      </c>
      <c r="Z359">
        <f t="shared" si="76"/>
        <v>-1.357932771100992E-16</v>
      </c>
      <c r="AB359" t="s">
        <v>419</v>
      </c>
      <c r="AE359" t="s">
        <v>420</v>
      </c>
    </row>
    <row r="360" spans="4:31" x14ac:dyDescent="0.25">
      <c r="D360" t="s">
        <v>490</v>
      </c>
      <c r="E360" t="s">
        <v>417</v>
      </c>
      <c r="F360">
        <v>7.51</v>
      </c>
      <c r="G360">
        <v>7.51</v>
      </c>
      <c r="H360">
        <v>1</v>
      </c>
      <c r="I360">
        <f t="shared" si="67"/>
        <v>0</v>
      </c>
      <c r="J360">
        <v>1</v>
      </c>
      <c r="K360">
        <f t="shared" si="68"/>
        <v>7.51</v>
      </c>
      <c r="L360" t="s">
        <v>418</v>
      </c>
      <c r="N360">
        <f t="shared" si="77"/>
        <v>333.00421439999997</v>
      </c>
      <c r="O360">
        <f t="shared" si="69"/>
        <v>0.24635519034043282</v>
      </c>
      <c r="P360" t="s">
        <v>39</v>
      </c>
      <c r="Q360">
        <f t="shared" si="70"/>
        <v>2.5299600532623168</v>
      </c>
      <c r="R360">
        <f t="shared" si="71"/>
        <v>19</v>
      </c>
      <c r="S360">
        <f t="shared" si="72"/>
        <v>19</v>
      </c>
      <c r="T360">
        <v>19</v>
      </c>
      <c r="U360">
        <f t="shared" si="73"/>
        <v>0</v>
      </c>
      <c r="V360">
        <v>0.67</v>
      </c>
      <c r="W360">
        <v>34.71</v>
      </c>
      <c r="X360">
        <f t="shared" si="74"/>
        <v>441.85830000000004</v>
      </c>
      <c r="Y360">
        <f t="shared" si="75"/>
        <v>441.85830000000004</v>
      </c>
      <c r="Z360">
        <f t="shared" si="76"/>
        <v>0</v>
      </c>
      <c r="AB360" t="s">
        <v>419</v>
      </c>
      <c r="AE360" t="s">
        <v>420</v>
      </c>
    </row>
    <row r="361" spans="4:31" x14ac:dyDescent="0.25">
      <c r="D361" t="s">
        <v>491</v>
      </c>
      <c r="E361" t="s">
        <v>417</v>
      </c>
      <c r="F361">
        <v>7.46</v>
      </c>
      <c r="G361">
        <v>7.46</v>
      </c>
      <c r="H361">
        <v>1</v>
      </c>
      <c r="I361">
        <f t="shared" si="67"/>
        <v>0</v>
      </c>
      <c r="J361">
        <v>1</v>
      </c>
      <c r="K361">
        <f t="shared" si="68"/>
        <v>7.46</v>
      </c>
      <c r="L361" t="s">
        <v>418</v>
      </c>
      <c r="N361">
        <f t="shared" si="77"/>
        <v>330.78714239999994</v>
      </c>
      <c r="O361">
        <f t="shared" si="69"/>
        <v>0.25137279892671494</v>
      </c>
      <c r="P361" t="s">
        <v>39</v>
      </c>
      <c r="Q361">
        <f t="shared" si="70"/>
        <v>2.5469168900804289</v>
      </c>
      <c r="R361">
        <f t="shared" si="71"/>
        <v>19</v>
      </c>
      <c r="S361">
        <f t="shared" si="72"/>
        <v>19</v>
      </c>
      <c r="T361">
        <v>19</v>
      </c>
      <c r="U361">
        <f t="shared" si="73"/>
        <v>0</v>
      </c>
      <c r="V361">
        <v>0.67</v>
      </c>
      <c r="W361">
        <v>34.71</v>
      </c>
      <c r="X361">
        <f t="shared" si="74"/>
        <v>441.85830000000004</v>
      </c>
      <c r="Y361">
        <f t="shared" si="75"/>
        <v>441.85830000000004</v>
      </c>
      <c r="Z361">
        <f t="shared" si="76"/>
        <v>0</v>
      </c>
      <c r="AB361" t="s">
        <v>419</v>
      </c>
      <c r="AE361" t="s">
        <v>420</v>
      </c>
    </row>
    <row r="362" spans="4:31" x14ac:dyDescent="0.25">
      <c r="D362" t="s">
        <v>492</v>
      </c>
      <c r="E362" t="s">
        <v>417</v>
      </c>
      <c r="F362">
        <v>7.36</v>
      </c>
      <c r="G362">
        <v>7.36</v>
      </c>
      <c r="H362">
        <v>1</v>
      </c>
      <c r="I362">
        <f t="shared" si="67"/>
        <v>0</v>
      </c>
      <c r="J362">
        <v>1</v>
      </c>
      <c r="K362">
        <f t="shared" si="68"/>
        <v>7.36</v>
      </c>
      <c r="L362" t="s">
        <v>418</v>
      </c>
      <c r="N362">
        <f t="shared" si="77"/>
        <v>326.35299839999993</v>
      </c>
      <c r="O362">
        <f t="shared" si="69"/>
        <v>0.29833761529431513</v>
      </c>
      <c r="P362" t="s">
        <v>39</v>
      </c>
      <c r="Q362">
        <f t="shared" si="70"/>
        <v>2.7173913043478262</v>
      </c>
      <c r="R362">
        <f t="shared" si="71"/>
        <v>20</v>
      </c>
      <c r="S362">
        <f t="shared" si="72"/>
        <v>20</v>
      </c>
      <c r="T362">
        <v>20</v>
      </c>
      <c r="U362">
        <f t="shared" si="73"/>
        <v>0</v>
      </c>
      <c r="V362">
        <v>0.67</v>
      </c>
      <c r="W362">
        <v>34.71</v>
      </c>
      <c r="X362">
        <f t="shared" si="74"/>
        <v>465.11400000000003</v>
      </c>
      <c r="Y362">
        <f t="shared" si="75"/>
        <v>465.11400000000003</v>
      </c>
      <c r="Z362">
        <f t="shared" si="76"/>
        <v>0</v>
      </c>
      <c r="AB362" t="s">
        <v>419</v>
      </c>
      <c r="AE362" t="s">
        <v>420</v>
      </c>
    </row>
    <row r="363" spans="4:31" x14ac:dyDescent="0.25">
      <c r="D363" t="s">
        <v>493</v>
      </c>
      <c r="E363" t="s">
        <v>417</v>
      </c>
      <c r="F363">
        <v>7.14</v>
      </c>
      <c r="G363">
        <v>7.14</v>
      </c>
      <c r="H363">
        <v>1</v>
      </c>
      <c r="I363">
        <f t="shared" si="67"/>
        <v>0</v>
      </c>
      <c r="J363">
        <v>1</v>
      </c>
      <c r="K363">
        <f t="shared" si="68"/>
        <v>7.14</v>
      </c>
      <c r="L363" t="s">
        <v>418</v>
      </c>
      <c r="N363">
        <f t="shared" si="77"/>
        <v>316.59788159999999</v>
      </c>
      <c r="O363">
        <f t="shared" si="69"/>
        <v>0.31931121918497407</v>
      </c>
      <c r="P363" t="s">
        <v>39</v>
      </c>
      <c r="Q363">
        <f t="shared" si="70"/>
        <v>2.801120448179272</v>
      </c>
      <c r="R363">
        <f t="shared" si="71"/>
        <v>20</v>
      </c>
      <c r="S363">
        <f t="shared" si="72"/>
        <v>20</v>
      </c>
      <c r="T363">
        <v>20</v>
      </c>
      <c r="U363">
        <f t="shared" si="73"/>
        <v>0</v>
      </c>
      <c r="V363">
        <v>0.67</v>
      </c>
      <c r="W363">
        <v>34.71</v>
      </c>
      <c r="X363">
        <f t="shared" si="74"/>
        <v>465.11400000000003</v>
      </c>
      <c r="Y363">
        <f t="shared" si="75"/>
        <v>465.11400000000003</v>
      </c>
      <c r="Z363">
        <f t="shared" si="76"/>
        <v>0</v>
      </c>
      <c r="AB363" t="s">
        <v>419</v>
      </c>
      <c r="AE363" t="s">
        <v>420</v>
      </c>
    </row>
    <row r="364" spans="4:31" x14ac:dyDescent="0.25">
      <c r="D364" t="s">
        <v>494</v>
      </c>
      <c r="E364" t="s">
        <v>417</v>
      </c>
      <c r="F364">
        <v>7.35</v>
      </c>
      <c r="G364">
        <v>7.35</v>
      </c>
      <c r="H364">
        <v>1</v>
      </c>
      <c r="I364">
        <f t="shared" si="67"/>
        <v>0</v>
      </c>
      <c r="J364">
        <v>1</v>
      </c>
      <c r="K364">
        <f t="shared" si="68"/>
        <v>7.35</v>
      </c>
      <c r="L364" t="s">
        <v>418</v>
      </c>
      <c r="N364">
        <f t="shared" si="77"/>
        <v>325.90958399999994</v>
      </c>
      <c r="O364">
        <f t="shared" si="69"/>
        <v>0.3326580580244845</v>
      </c>
      <c r="P364" t="s">
        <v>39</v>
      </c>
      <c r="Q364">
        <f t="shared" si="70"/>
        <v>2.8571428571428572</v>
      </c>
      <c r="R364">
        <f t="shared" si="71"/>
        <v>21</v>
      </c>
      <c r="S364">
        <f t="shared" si="72"/>
        <v>21</v>
      </c>
      <c r="T364">
        <v>21</v>
      </c>
      <c r="U364">
        <f t="shared" si="73"/>
        <v>0</v>
      </c>
      <c r="V364">
        <v>0.67</v>
      </c>
      <c r="W364">
        <v>34.71</v>
      </c>
      <c r="X364">
        <f t="shared" si="74"/>
        <v>488.36970000000002</v>
      </c>
      <c r="Y364">
        <f t="shared" si="75"/>
        <v>488.36970000000002</v>
      </c>
      <c r="Z364">
        <f t="shared" si="76"/>
        <v>0</v>
      </c>
      <c r="AB364" t="s">
        <v>419</v>
      </c>
      <c r="AE364" t="s">
        <v>420</v>
      </c>
    </row>
    <row r="365" spans="4:31" x14ac:dyDescent="0.25">
      <c r="D365" t="s">
        <v>495</v>
      </c>
      <c r="E365" t="s">
        <v>417</v>
      </c>
      <c r="F365">
        <v>6.6</v>
      </c>
      <c r="G365">
        <v>6.6</v>
      </c>
      <c r="H365">
        <v>1</v>
      </c>
      <c r="I365">
        <f t="shared" si="67"/>
        <v>0</v>
      </c>
      <c r="J365">
        <v>1</v>
      </c>
      <c r="K365">
        <f t="shared" si="68"/>
        <v>6.6</v>
      </c>
      <c r="L365" t="s">
        <v>418</v>
      </c>
      <c r="N365">
        <f t="shared" si="77"/>
        <v>292.65350399999994</v>
      </c>
      <c r="O365">
        <f t="shared" si="69"/>
        <v>0.40075417455259832</v>
      </c>
      <c r="P365" t="s">
        <v>39</v>
      </c>
      <c r="Q365">
        <f t="shared" si="70"/>
        <v>3.1818181818181821</v>
      </c>
      <c r="R365">
        <f t="shared" si="71"/>
        <v>21</v>
      </c>
      <c r="S365">
        <f t="shared" si="72"/>
        <v>21</v>
      </c>
      <c r="T365">
        <v>21</v>
      </c>
      <c r="U365">
        <f t="shared" si="73"/>
        <v>0</v>
      </c>
      <c r="V365">
        <v>0.67</v>
      </c>
      <c r="W365">
        <v>34.71</v>
      </c>
      <c r="X365">
        <f t="shared" si="74"/>
        <v>488.36970000000002</v>
      </c>
      <c r="Y365">
        <f t="shared" si="75"/>
        <v>488.36970000000002</v>
      </c>
      <c r="Z365">
        <f t="shared" si="76"/>
        <v>0</v>
      </c>
      <c r="AB365" t="s">
        <v>419</v>
      </c>
      <c r="AE365" t="s">
        <v>420</v>
      </c>
    </row>
    <row r="366" spans="4:31" x14ac:dyDescent="0.25">
      <c r="D366" t="s">
        <v>496</v>
      </c>
      <c r="E366" t="s">
        <v>417</v>
      </c>
      <c r="F366">
        <v>6.67</v>
      </c>
      <c r="G366">
        <v>6.67</v>
      </c>
      <c r="H366">
        <v>1</v>
      </c>
      <c r="I366">
        <f t="shared" si="67"/>
        <v>0</v>
      </c>
      <c r="J366">
        <v>1</v>
      </c>
      <c r="K366">
        <f t="shared" si="68"/>
        <v>6.67</v>
      </c>
      <c r="L366" t="s">
        <v>418</v>
      </c>
      <c r="N366">
        <f t="shared" si="77"/>
        <v>295.75740479999996</v>
      </c>
      <c r="O366">
        <f t="shared" si="69"/>
        <v>0.4470595337917157</v>
      </c>
      <c r="P366" t="s">
        <v>39</v>
      </c>
      <c r="Q366">
        <f t="shared" si="70"/>
        <v>3.4482758620689657</v>
      </c>
      <c r="R366">
        <f t="shared" si="71"/>
        <v>23</v>
      </c>
      <c r="S366">
        <f t="shared" si="72"/>
        <v>23</v>
      </c>
      <c r="T366">
        <v>23</v>
      </c>
      <c r="U366">
        <f t="shared" si="73"/>
        <v>0</v>
      </c>
      <c r="V366">
        <v>0.67</v>
      </c>
      <c r="W366">
        <v>34.71</v>
      </c>
      <c r="X366">
        <f t="shared" si="74"/>
        <v>534.88110000000006</v>
      </c>
      <c r="Y366">
        <f t="shared" si="75"/>
        <v>534.88110000000006</v>
      </c>
      <c r="Z366">
        <f t="shared" si="76"/>
        <v>0</v>
      </c>
      <c r="AB366" t="s">
        <v>419</v>
      </c>
      <c r="AE366" t="s">
        <v>420</v>
      </c>
    </row>
    <row r="367" spans="4:31" x14ac:dyDescent="0.25">
      <c r="D367" t="s">
        <v>497</v>
      </c>
      <c r="E367" t="s">
        <v>417</v>
      </c>
      <c r="F367">
        <v>6.65</v>
      </c>
      <c r="G367">
        <v>6.65</v>
      </c>
      <c r="H367">
        <v>1</v>
      </c>
      <c r="I367">
        <f t="shared" si="67"/>
        <v>0</v>
      </c>
      <c r="J367">
        <v>1</v>
      </c>
      <c r="K367">
        <f t="shared" si="68"/>
        <v>6.65</v>
      </c>
      <c r="L367" t="s">
        <v>418</v>
      </c>
      <c r="N367">
        <f t="shared" si="77"/>
        <v>294.87057599999997</v>
      </c>
      <c r="O367">
        <f t="shared" si="69"/>
        <v>0.44871752619413935</v>
      </c>
      <c r="P367" t="s">
        <v>39</v>
      </c>
      <c r="Q367">
        <f t="shared" si="70"/>
        <v>3.4586466165413534</v>
      </c>
      <c r="R367">
        <f t="shared" si="71"/>
        <v>23</v>
      </c>
      <c r="S367">
        <f t="shared" si="72"/>
        <v>23</v>
      </c>
      <c r="T367">
        <v>23</v>
      </c>
      <c r="U367">
        <f t="shared" si="73"/>
        <v>0</v>
      </c>
      <c r="V367">
        <v>0.67</v>
      </c>
      <c r="W367">
        <v>34.71</v>
      </c>
      <c r="X367">
        <f t="shared" si="74"/>
        <v>534.88110000000006</v>
      </c>
      <c r="Y367">
        <f t="shared" si="75"/>
        <v>534.88110000000006</v>
      </c>
      <c r="Z367">
        <f t="shared" si="76"/>
        <v>0</v>
      </c>
      <c r="AB367" t="s">
        <v>419</v>
      </c>
      <c r="AE367" t="s">
        <v>420</v>
      </c>
    </row>
    <row r="368" spans="4:31" x14ac:dyDescent="0.25">
      <c r="D368" t="s">
        <v>498</v>
      </c>
      <c r="E368" t="s">
        <v>417</v>
      </c>
      <c r="F368">
        <v>7.48</v>
      </c>
      <c r="G368">
        <v>7.48</v>
      </c>
      <c r="H368">
        <v>1</v>
      </c>
      <c r="I368">
        <f t="shared" si="67"/>
        <v>0</v>
      </c>
      <c r="J368">
        <v>1</v>
      </c>
      <c r="K368">
        <f t="shared" si="68"/>
        <v>7.48</v>
      </c>
      <c r="L368" t="s">
        <v>418</v>
      </c>
      <c r="N368">
        <f t="shared" si="77"/>
        <v>331.67397119999998</v>
      </c>
      <c r="O368">
        <f t="shared" si="69"/>
        <v>0.5082051501500634</v>
      </c>
      <c r="P368" t="s">
        <v>39</v>
      </c>
      <c r="Q368">
        <f t="shared" si="70"/>
        <v>3.8770053475935828</v>
      </c>
      <c r="R368">
        <f t="shared" si="71"/>
        <v>29</v>
      </c>
      <c r="S368">
        <f t="shared" si="72"/>
        <v>29</v>
      </c>
      <c r="T368">
        <v>29</v>
      </c>
      <c r="U368">
        <f t="shared" si="73"/>
        <v>0</v>
      </c>
      <c r="V368">
        <v>0.67</v>
      </c>
      <c r="W368">
        <v>34.71</v>
      </c>
      <c r="X368">
        <f t="shared" si="74"/>
        <v>674.4153</v>
      </c>
      <c r="Y368">
        <f t="shared" si="75"/>
        <v>674.41530000000012</v>
      </c>
      <c r="Z368">
        <f t="shared" si="76"/>
        <v>1.6857096468839903E-16</v>
      </c>
      <c r="AB368" t="s">
        <v>419</v>
      </c>
      <c r="AE368" t="s">
        <v>420</v>
      </c>
    </row>
    <row r="369" spans="4:31" x14ac:dyDescent="0.25">
      <c r="D369" t="s">
        <v>499</v>
      </c>
      <c r="E369" t="s">
        <v>417</v>
      </c>
      <c r="F369">
        <v>7.78</v>
      </c>
      <c r="G369">
        <v>7.78</v>
      </c>
      <c r="H369">
        <v>1</v>
      </c>
      <c r="I369">
        <f t="shared" si="67"/>
        <v>0</v>
      </c>
      <c r="J369">
        <v>1</v>
      </c>
      <c r="K369">
        <f t="shared" si="68"/>
        <v>7.78</v>
      </c>
      <c r="L369" t="s">
        <v>418</v>
      </c>
      <c r="N369">
        <f t="shared" si="77"/>
        <v>344.97640319999999</v>
      </c>
      <c r="O369">
        <f t="shared" si="69"/>
        <v>0.48848075777640276</v>
      </c>
      <c r="P369" t="s">
        <v>39</v>
      </c>
      <c r="Q369">
        <f t="shared" si="70"/>
        <v>3.7275064267352183</v>
      </c>
      <c r="R369">
        <f t="shared" si="71"/>
        <v>29</v>
      </c>
      <c r="S369">
        <f t="shared" si="72"/>
        <v>29</v>
      </c>
      <c r="T369">
        <v>29</v>
      </c>
      <c r="U369">
        <f t="shared" si="73"/>
        <v>0</v>
      </c>
      <c r="V369">
        <v>0.67</v>
      </c>
      <c r="W369">
        <v>34.71</v>
      </c>
      <c r="X369">
        <f t="shared" si="74"/>
        <v>674.4153</v>
      </c>
      <c r="Y369">
        <f t="shared" si="75"/>
        <v>674.41530000000012</v>
      </c>
      <c r="Z369">
        <f t="shared" si="76"/>
        <v>1.6857096468839903E-16</v>
      </c>
      <c r="AB369" t="s">
        <v>419</v>
      </c>
      <c r="AE369" t="s">
        <v>420</v>
      </c>
    </row>
    <row r="370" spans="4:31" x14ac:dyDescent="0.25">
      <c r="D370" t="s">
        <v>500</v>
      </c>
      <c r="E370" t="s">
        <v>417</v>
      </c>
      <c r="F370">
        <v>8.08</v>
      </c>
      <c r="G370">
        <v>8.08</v>
      </c>
      <c r="H370">
        <v>1</v>
      </c>
      <c r="I370">
        <f t="shared" si="67"/>
        <v>0</v>
      </c>
      <c r="J370">
        <v>1</v>
      </c>
      <c r="K370">
        <f t="shared" si="68"/>
        <v>8.08</v>
      </c>
      <c r="L370" t="s">
        <v>418</v>
      </c>
      <c r="N370">
        <f t="shared" si="77"/>
        <v>358.2788352</v>
      </c>
      <c r="O370">
        <f t="shared" si="69"/>
        <v>0.48646448655598423</v>
      </c>
      <c r="P370" t="s">
        <v>39</v>
      </c>
      <c r="Q370">
        <f t="shared" si="70"/>
        <v>3.7128712871287131</v>
      </c>
      <c r="R370">
        <f t="shared" si="71"/>
        <v>30.000000000000004</v>
      </c>
      <c r="S370">
        <f t="shared" si="72"/>
        <v>30.000000000000004</v>
      </c>
      <c r="T370">
        <v>30</v>
      </c>
      <c r="U370">
        <f t="shared" si="73"/>
        <v>-1.1842378929335E-16</v>
      </c>
      <c r="V370">
        <v>0.67</v>
      </c>
      <c r="W370">
        <v>34.71</v>
      </c>
      <c r="X370">
        <f t="shared" si="74"/>
        <v>697.67100000000016</v>
      </c>
      <c r="Y370">
        <f t="shared" si="75"/>
        <v>697.67100000000016</v>
      </c>
      <c r="Z370">
        <f t="shared" si="76"/>
        <v>0</v>
      </c>
      <c r="AB370" t="s">
        <v>419</v>
      </c>
      <c r="AE370" t="s">
        <v>420</v>
      </c>
    </row>
    <row r="371" spans="4:31" x14ac:dyDescent="0.25">
      <c r="D371" t="s">
        <v>501</v>
      </c>
      <c r="E371" t="s">
        <v>417</v>
      </c>
      <c r="F371">
        <v>8.5</v>
      </c>
      <c r="G371">
        <v>8.5</v>
      </c>
      <c r="H371">
        <v>1</v>
      </c>
      <c r="I371">
        <f t="shared" si="67"/>
        <v>0</v>
      </c>
      <c r="J371">
        <v>1</v>
      </c>
      <c r="K371">
        <f t="shared" si="68"/>
        <v>8.5</v>
      </c>
      <c r="L371" t="s">
        <v>418</v>
      </c>
      <c r="N371">
        <f t="shared" si="77"/>
        <v>376.90223999999995</v>
      </c>
      <c r="O371">
        <f t="shared" si="69"/>
        <v>0.49353513332215337</v>
      </c>
      <c r="P371" t="s">
        <v>39</v>
      </c>
      <c r="Q371">
        <f t="shared" si="70"/>
        <v>3.7647058823529411</v>
      </c>
      <c r="R371">
        <f t="shared" si="71"/>
        <v>32</v>
      </c>
      <c r="S371">
        <f t="shared" si="72"/>
        <v>32</v>
      </c>
      <c r="T371">
        <v>32</v>
      </c>
      <c r="U371">
        <f t="shared" si="73"/>
        <v>0</v>
      </c>
      <c r="V371">
        <v>0.67</v>
      </c>
      <c r="W371">
        <v>34.71</v>
      </c>
      <c r="X371">
        <f t="shared" si="74"/>
        <v>744.18240000000003</v>
      </c>
      <c r="Y371">
        <f t="shared" si="75"/>
        <v>744.18240000000003</v>
      </c>
      <c r="Z371">
        <f t="shared" si="76"/>
        <v>0</v>
      </c>
      <c r="AB371" t="s">
        <v>419</v>
      </c>
      <c r="AE371" t="s">
        <v>420</v>
      </c>
    </row>
    <row r="372" spans="4:31" x14ac:dyDescent="0.25">
      <c r="D372" t="s">
        <v>502</v>
      </c>
      <c r="E372" t="s">
        <v>417</v>
      </c>
      <c r="F372">
        <v>8.4600000000000009</v>
      </c>
      <c r="G372">
        <v>8.4600000000000009</v>
      </c>
      <c r="H372">
        <v>1</v>
      </c>
      <c r="I372">
        <f t="shared" si="67"/>
        <v>0</v>
      </c>
      <c r="J372">
        <v>1</v>
      </c>
      <c r="K372">
        <f t="shared" si="68"/>
        <v>8.4600000000000009</v>
      </c>
      <c r="L372" t="s">
        <v>418</v>
      </c>
      <c r="N372">
        <f t="shared" si="77"/>
        <v>375.12858239999997</v>
      </c>
      <c r="O372">
        <f t="shared" si="69"/>
        <v>0.5111936944491029</v>
      </c>
      <c r="P372" t="s">
        <v>39</v>
      </c>
      <c r="Q372">
        <f t="shared" si="70"/>
        <v>3.9007092198581557</v>
      </c>
      <c r="R372">
        <f t="shared" si="71"/>
        <v>33</v>
      </c>
      <c r="S372">
        <f t="shared" si="72"/>
        <v>33</v>
      </c>
      <c r="T372">
        <v>33</v>
      </c>
      <c r="U372">
        <f t="shared" si="73"/>
        <v>0</v>
      </c>
      <c r="V372">
        <v>0.67</v>
      </c>
      <c r="W372">
        <v>34.71</v>
      </c>
      <c r="X372">
        <f t="shared" si="74"/>
        <v>767.43810000000008</v>
      </c>
      <c r="Y372">
        <f t="shared" si="75"/>
        <v>767.43810000000008</v>
      </c>
      <c r="Z372">
        <f t="shared" si="76"/>
        <v>0</v>
      </c>
      <c r="AB372" t="s">
        <v>419</v>
      </c>
      <c r="AE372" t="s">
        <v>420</v>
      </c>
    </row>
    <row r="373" spans="4:31" x14ac:dyDescent="0.25">
      <c r="D373" t="s">
        <v>503</v>
      </c>
      <c r="E373" t="s">
        <v>417</v>
      </c>
      <c r="F373">
        <v>9.27</v>
      </c>
      <c r="G373">
        <v>9.27</v>
      </c>
      <c r="H373">
        <v>1</v>
      </c>
      <c r="I373">
        <f t="shared" si="67"/>
        <v>0</v>
      </c>
      <c r="J373">
        <v>1</v>
      </c>
      <c r="K373">
        <f t="shared" si="68"/>
        <v>9.27</v>
      </c>
      <c r="L373" t="s">
        <v>418</v>
      </c>
      <c r="N373">
        <f t="shared" si="77"/>
        <v>411.04514879999999</v>
      </c>
      <c r="O373">
        <f t="shared" si="69"/>
        <v>0.48014623511655208</v>
      </c>
      <c r="P373" t="s">
        <v>39</v>
      </c>
      <c r="Q373">
        <f t="shared" si="70"/>
        <v>3.667745415318231</v>
      </c>
      <c r="R373">
        <f t="shared" si="71"/>
        <v>34</v>
      </c>
      <c r="S373">
        <f t="shared" si="72"/>
        <v>34</v>
      </c>
      <c r="T373">
        <v>34</v>
      </c>
      <c r="U373">
        <f t="shared" si="73"/>
        <v>0</v>
      </c>
      <c r="V373">
        <v>0.67</v>
      </c>
      <c r="W373">
        <v>34.71</v>
      </c>
      <c r="X373">
        <f t="shared" si="74"/>
        <v>790.69380000000001</v>
      </c>
      <c r="Y373">
        <f t="shared" si="75"/>
        <v>790.69380000000012</v>
      </c>
      <c r="Z373">
        <f t="shared" si="76"/>
        <v>1.4378111694010505E-16</v>
      </c>
      <c r="AB373" t="s">
        <v>419</v>
      </c>
      <c r="AE373" t="s">
        <v>420</v>
      </c>
    </row>
    <row r="374" spans="4:31" x14ac:dyDescent="0.25">
      <c r="D374" t="s">
        <v>504</v>
      </c>
      <c r="E374" t="s">
        <v>417</v>
      </c>
      <c r="F374">
        <v>10.24</v>
      </c>
      <c r="G374">
        <v>10.24</v>
      </c>
      <c r="H374">
        <v>1</v>
      </c>
      <c r="I374">
        <f t="shared" si="67"/>
        <v>0</v>
      </c>
      <c r="J374">
        <v>1</v>
      </c>
      <c r="K374">
        <f t="shared" si="68"/>
        <v>10.24</v>
      </c>
      <c r="L374" t="s">
        <v>418</v>
      </c>
      <c r="N374">
        <f t="shared" si="77"/>
        <v>454.05634559999999</v>
      </c>
      <c r="O374">
        <f t="shared" si="69"/>
        <v>0.45765226302942225</v>
      </c>
      <c r="P374" t="s">
        <v>39</v>
      </c>
      <c r="Q374">
        <f t="shared" si="70"/>
        <v>3.515625</v>
      </c>
      <c r="R374">
        <f t="shared" si="71"/>
        <v>36</v>
      </c>
      <c r="S374">
        <f t="shared" si="72"/>
        <v>36</v>
      </c>
      <c r="T374">
        <v>36</v>
      </c>
      <c r="U374">
        <f t="shared" si="73"/>
        <v>0</v>
      </c>
      <c r="V374">
        <v>0.67</v>
      </c>
      <c r="W374">
        <v>34.71</v>
      </c>
      <c r="X374">
        <f t="shared" si="74"/>
        <v>837.2052000000001</v>
      </c>
      <c r="Y374">
        <f t="shared" si="75"/>
        <v>837.20519999999999</v>
      </c>
      <c r="Z374">
        <f t="shared" si="76"/>
        <v>-1.357932771100992E-16</v>
      </c>
      <c r="AB374" t="s">
        <v>419</v>
      </c>
      <c r="AE374" t="s">
        <v>420</v>
      </c>
    </row>
    <row r="375" spans="4:31" x14ac:dyDescent="0.25">
      <c r="D375" t="s">
        <v>505</v>
      </c>
      <c r="E375" t="s">
        <v>417</v>
      </c>
      <c r="F375">
        <v>11.17</v>
      </c>
      <c r="G375">
        <v>11.17</v>
      </c>
      <c r="H375">
        <v>1</v>
      </c>
      <c r="I375">
        <f t="shared" si="67"/>
        <v>0</v>
      </c>
      <c r="J375">
        <v>1</v>
      </c>
      <c r="K375">
        <f t="shared" si="68"/>
        <v>11.17</v>
      </c>
      <c r="L375" t="s">
        <v>418</v>
      </c>
      <c r="N375">
        <f t="shared" si="77"/>
        <v>495.2938848</v>
      </c>
      <c r="O375">
        <f t="shared" si="69"/>
        <v>0.40839607207408657</v>
      </c>
      <c r="P375" t="s">
        <v>39</v>
      </c>
      <c r="Q375">
        <f t="shared" si="70"/>
        <v>3.2229185317815578</v>
      </c>
      <c r="R375">
        <f t="shared" si="71"/>
        <v>36</v>
      </c>
      <c r="S375">
        <f t="shared" si="72"/>
        <v>36</v>
      </c>
      <c r="T375">
        <v>36</v>
      </c>
      <c r="U375">
        <f t="shared" si="73"/>
        <v>0</v>
      </c>
      <c r="V375">
        <v>0.67</v>
      </c>
      <c r="W375">
        <v>34.71</v>
      </c>
      <c r="X375">
        <f t="shared" si="74"/>
        <v>837.2052000000001</v>
      </c>
      <c r="Y375">
        <f t="shared" si="75"/>
        <v>837.20519999999999</v>
      </c>
      <c r="Z375">
        <f t="shared" si="76"/>
        <v>-1.357932771100992E-16</v>
      </c>
      <c r="AB375" t="s">
        <v>419</v>
      </c>
      <c r="AE375" t="s">
        <v>420</v>
      </c>
    </row>
    <row r="376" spans="4:31" x14ac:dyDescent="0.25">
      <c r="D376" t="s">
        <v>506</v>
      </c>
      <c r="E376" t="s">
        <v>417</v>
      </c>
      <c r="F376">
        <v>11.42</v>
      </c>
      <c r="G376">
        <v>11.42</v>
      </c>
      <c r="H376">
        <v>1</v>
      </c>
      <c r="I376">
        <f t="shared" si="67"/>
        <v>0</v>
      </c>
      <c r="J376">
        <v>1</v>
      </c>
      <c r="K376">
        <f t="shared" si="68"/>
        <v>11.42</v>
      </c>
      <c r="L376" t="s">
        <v>418</v>
      </c>
      <c r="N376">
        <f t="shared" si="77"/>
        <v>506.37924479999998</v>
      </c>
      <c r="O376">
        <f t="shared" si="69"/>
        <v>0.41150231835054923</v>
      </c>
      <c r="P376" t="s">
        <v>39</v>
      </c>
      <c r="Q376">
        <f t="shared" si="70"/>
        <v>3.2399299474605954</v>
      </c>
      <c r="R376">
        <f t="shared" si="71"/>
        <v>37</v>
      </c>
      <c r="S376">
        <f t="shared" si="72"/>
        <v>37</v>
      </c>
      <c r="T376">
        <v>37</v>
      </c>
      <c r="U376">
        <f t="shared" si="73"/>
        <v>0</v>
      </c>
      <c r="V376">
        <v>0.67</v>
      </c>
      <c r="W376">
        <v>34.71</v>
      </c>
      <c r="X376">
        <f t="shared" si="74"/>
        <v>860.46090000000015</v>
      </c>
      <c r="Y376">
        <f t="shared" si="75"/>
        <v>860.46090000000004</v>
      </c>
      <c r="Z376">
        <f t="shared" si="76"/>
        <v>-1.3212318853955595E-16</v>
      </c>
      <c r="AB376" t="s">
        <v>419</v>
      </c>
      <c r="AE376" t="s">
        <v>420</v>
      </c>
    </row>
    <row r="377" spans="4:31" x14ac:dyDescent="0.25">
      <c r="D377" t="s">
        <v>507</v>
      </c>
      <c r="E377" t="s">
        <v>417</v>
      </c>
      <c r="F377">
        <v>12.55</v>
      </c>
      <c r="G377">
        <v>12.55</v>
      </c>
      <c r="H377">
        <v>1</v>
      </c>
      <c r="I377">
        <f t="shared" si="67"/>
        <v>0</v>
      </c>
      <c r="J377">
        <v>1</v>
      </c>
      <c r="K377">
        <f t="shared" si="68"/>
        <v>12.55</v>
      </c>
      <c r="L377" t="s">
        <v>418</v>
      </c>
      <c r="N377">
        <f t="shared" si="77"/>
        <v>556.48507200000006</v>
      </c>
      <c r="O377">
        <f t="shared" si="69"/>
        <v>0.37029012242159987</v>
      </c>
      <c r="P377" t="s">
        <v>39</v>
      </c>
      <c r="Q377">
        <f t="shared" si="70"/>
        <v>3.0278884462151394</v>
      </c>
      <c r="R377">
        <f t="shared" si="71"/>
        <v>38</v>
      </c>
      <c r="S377">
        <f t="shared" si="72"/>
        <v>38</v>
      </c>
      <c r="T377">
        <v>38</v>
      </c>
      <c r="U377">
        <f t="shared" si="73"/>
        <v>0</v>
      </c>
      <c r="V377">
        <v>0.67</v>
      </c>
      <c r="W377">
        <v>34.71</v>
      </c>
      <c r="X377">
        <f t="shared" si="74"/>
        <v>883.71660000000008</v>
      </c>
      <c r="Y377">
        <f t="shared" si="75"/>
        <v>883.71660000000008</v>
      </c>
      <c r="Z377">
        <f t="shared" si="76"/>
        <v>0</v>
      </c>
      <c r="AB377" t="s">
        <v>419</v>
      </c>
      <c r="AE377" t="s">
        <v>420</v>
      </c>
    </row>
    <row r="378" spans="4:31" x14ac:dyDescent="0.25">
      <c r="D378" t="s">
        <v>508</v>
      </c>
      <c r="E378" t="s">
        <v>417</v>
      </c>
      <c r="F378">
        <v>17.100000000000001</v>
      </c>
      <c r="G378">
        <v>17.100000000000001</v>
      </c>
      <c r="H378">
        <v>1</v>
      </c>
      <c r="I378">
        <f t="shared" si="67"/>
        <v>0</v>
      </c>
      <c r="J378">
        <v>1</v>
      </c>
      <c r="K378">
        <f t="shared" si="68"/>
        <v>17.100000000000001</v>
      </c>
      <c r="L378" t="s">
        <v>418</v>
      </c>
      <c r="N378">
        <f t="shared" si="77"/>
        <v>758.23862400000007</v>
      </c>
      <c r="O378">
        <f t="shared" si="69"/>
        <v>0.18488948515847725</v>
      </c>
      <c r="P378" t="s">
        <v>39</v>
      </c>
      <c r="Q378">
        <f t="shared" si="70"/>
        <v>2.3391812865497075</v>
      </c>
      <c r="R378">
        <f t="shared" si="71"/>
        <v>40</v>
      </c>
      <c r="S378">
        <f t="shared" si="72"/>
        <v>40</v>
      </c>
      <c r="T378">
        <v>40</v>
      </c>
      <c r="U378">
        <f t="shared" si="73"/>
        <v>0</v>
      </c>
      <c r="V378">
        <v>0.67</v>
      </c>
      <c r="W378">
        <v>34.71</v>
      </c>
      <c r="X378">
        <f t="shared" si="74"/>
        <v>930.22800000000007</v>
      </c>
      <c r="Y378">
        <f t="shared" si="75"/>
        <v>930.22800000000007</v>
      </c>
      <c r="Z378">
        <f t="shared" si="76"/>
        <v>0</v>
      </c>
      <c r="AB378" t="s">
        <v>419</v>
      </c>
      <c r="AE378" t="s">
        <v>420</v>
      </c>
    </row>
    <row r="379" spans="4:31" x14ac:dyDescent="0.25">
      <c r="D379" t="s">
        <v>509</v>
      </c>
      <c r="E379" t="s">
        <v>417</v>
      </c>
      <c r="F379">
        <v>18.260000000000002</v>
      </c>
      <c r="G379">
        <v>18.260000000000002</v>
      </c>
      <c r="H379">
        <v>1</v>
      </c>
      <c r="I379">
        <f t="shared" si="67"/>
        <v>0</v>
      </c>
      <c r="J379">
        <v>1</v>
      </c>
      <c r="K379">
        <f t="shared" si="68"/>
        <v>18.260000000000002</v>
      </c>
      <c r="L379" t="s">
        <v>418</v>
      </c>
      <c r="N379">
        <f t="shared" si="77"/>
        <v>809.67469440000002</v>
      </c>
      <c r="O379">
        <f t="shared" si="69"/>
        <v>0.17104327479776082</v>
      </c>
      <c r="P379" t="s">
        <v>39</v>
      </c>
      <c r="Q379">
        <f t="shared" si="70"/>
        <v>2.3001095290251916</v>
      </c>
      <c r="R379">
        <f t="shared" si="71"/>
        <v>42</v>
      </c>
      <c r="S379">
        <f t="shared" si="72"/>
        <v>42</v>
      </c>
      <c r="T379">
        <v>42</v>
      </c>
      <c r="U379">
        <f t="shared" si="73"/>
        <v>0</v>
      </c>
      <c r="V379">
        <v>0.67</v>
      </c>
      <c r="W379">
        <v>34.71</v>
      </c>
      <c r="X379">
        <f t="shared" si="74"/>
        <v>976.73940000000005</v>
      </c>
      <c r="Y379">
        <f t="shared" si="75"/>
        <v>976.73940000000005</v>
      </c>
      <c r="Z379">
        <f t="shared" si="76"/>
        <v>0</v>
      </c>
      <c r="AB379" t="s">
        <v>419</v>
      </c>
      <c r="AE379" t="s">
        <v>420</v>
      </c>
    </row>
    <row r="380" spans="4:31" x14ac:dyDescent="0.25">
      <c r="D380" t="s">
        <v>510</v>
      </c>
      <c r="E380" t="s">
        <v>417</v>
      </c>
      <c r="F380">
        <v>19.100000000000001</v>
      </c>
      <c r="G380">
        <v>19.100000000000001</v>
      </c>
      <c r="H380">
        <v>1</v>
      </c>
      <c r="I380">
        <f t="shared" si="67"/>
        <v>0</v>
      </c>
      <c r="J380">
        <v>1</v>
      </c>
      <c r="K380">
        <f t="shared" si="68"/>
        <v>19.100000000000001</v>
      </c>
      <c r="L380" t="s">
        <v>418</v>
      </c>
      <c r="N380">
        <f t="shared" si="77"/>
        <v>846.92150399999991</v>
      </c>
      <c r="O380">
        <f t="shared" si="69"/>
        <v>0.15307434606429587</v>
      </c>
      <c r="P380" t="s">
        <v>39</v>
      </c>
      <c r="Q380">
        <f t="shared" si="70"/>
        <v>2.25130890052356</v>
      </c>
      <c r="R380">
        <f t="shared" si="71"/>
        <v>43</v>
      </c>
      <c r="S380">
        <f t="shared" si="72"/>
        <v>43</v>
      </c>
      <c r="T380">
        <v>43</v>
      </c>
      <c r="U380">
        <f t="shared" si="73"/>
        <v>0</v>
      </c>
      <c r="V380">
        <v>0.67</v>
      </c>
      <c r="W380">
        <v>34.71</v>
      </c>
      <c r="X380">
        <f t="shared" si="74"/>
        <v>999.99510000000009</v>
      </c>
      <c r="Y380">
        <f t="shared" si="75"/>
        <v>999.99510000000009</v>
      </c>
      <c r="Z380">
        <f t="shared" si="76"/>
        <v>0</v>
      </c>
      <c r="AB380" t="s">
        <v>419</v>
      </c>
      <c r="AE380" t="s">
        <v>420</v>
      </c>
    </row>
    <row r="381" spans="4:31" x14ac:dyDescent="0.25">
      <c r="D381" t="s">
        <v>511</v>
      </c>
      <c r="E381" t="s">
        <v>417</v>
      </c>
      <c r="F381">
        <v>23.45</v>
      </c>
      <c r="G381">
        <v>23.45</v>
      </c>
      <c r="H381">
        <v>1</v>
      </c>
      <c r="I381">
        <f t="shared" si="67"/>
        <v>0</v>
      </c>
      <c r="J381">
        <v>1</v>
      </c>
      <c r="K381">
        <f t="shared" si="68"/>
        <v>23.45</v>
      </c>
      <c r="L381" t="s">
        <v>418</v>
      </c>
      <c r="N381">
        <f t="shared" si="77"/>
        <v>1039.8067679999999</v>
      </c>
      <c r="O381">
        <f t="shared" si="69"/>
        <v>8.7512038523274674E-2</v>
      </c>
      <c r="P381" t="s">
        <v>39</v>
      </c>
      <c r="Q381">
        <f t="shared" si="70"/>
        <v>2.0895522388059704</v>
      </c>
      <c r="R381">
        <f t="shared" si="71"/>
        <v>49.000000000000007</v>
      </c>
      <c r="S381">
        <f t="shared" si="72"/>
        <v>49.000000000000007</v>
      </c>
      <c r="T381">
        <v>49</v>
      </c>
      <c r="U381">
        <f t="shared" si="73"/>
        <v>-1.450087215836939E-16</v>
      </c>
      <c r="V381">
        <v>0.67</v>
      </c>
      <c r="W381">
        <v>34.71</v>
      </c>
      <c r="X381">
        <f t="shared" si="74"/>
        <v>1139.5293000000001</v>
      </c>
      <c r="Y381">
        <f t="shared" si="75"/>
        <v>1139.5293000000001</v>
      </c>
      <c r="Z381">
        <f t="shared" si="76"/>
        <v>0</v>
      </c>
      <c r="AB381" t="s">
        <v>419</v>
      </c>
      <c r="AE381" t="s">
        <v>420</v>
      </c>
    </row>
    <row r="382" spans="4:31" x14ac:dyDescent="0.25">
      <c r="D382" t="s">
        <v>512</v>
      </c>
      <c r="E382" t="s">
        <v>417</v>
      </c>
      <c r="F382">
        <v>24.95</v>
      </c>
      <c r="G382">
        <v>24.95</v>
      </c>
      <c r="H382">
        <v>1</v>
      </c>
      <c r="I382">
        <f t="shared" si="67"/>
        <v>0</v>
      </c>
      <c r="J382">
        <v>1</v>
      </c>
      <c r="K382">
        <f t="shared" si="68"/>
        <v>24.95</v>
      </c>
      <c r="L382" t="s">
        <v>418</v>
      </c>
      <c r="N382">
        <f t="shared" si="77"/>
        <v>1106.3189279999999</v>
      </c>
      <c r="O382">
        <f t="shared" si="69"/>
        <v>6.7216725361954541E-2</v>
      </c>
      <c r="P382" t="s">
        <v>39</v>
      </c>
      <c r="Q382">
        <f t="shared" si="70"/>
        <v>2.0440881763527057</v>
      </c>
      <c r="R382">
        <f t="shared" si="71"/>
        <v>51.000000000000007</v>
      </c>
      <c r="S382">
        <f t="shared" si="72"/>
        <v>51.000000000000007</v>
      </c>
      <c r="T382">
        <v>51</v>
      </c>
      <c r="U382">
        <f t="shared" si="73"/>
        <v>-1.3932210505100001E-16</v>
      </c>
      <c r="V382">
        <v>0.67</v>
      </c>
      <c r="W382">
        <v>34.71</v>
      </c>
      <c r="X382">
        <f t="shared" si="74"/>
        <v>1186.0407000000002</v>
      </c>
      <c r="Y382">
        <f t="shared" si="75"/>
        <v>1186.0407000000002</v>
      </c>
      <c r="Z382">
        <f t="shared" si="76"/>
        <v>0</v>
      </c>
      <c r="AB382" t="s">
        <v>419</v>
      </c>
      <c r="AE382" t="s">
        <v>420</v>
      </c>
    </row>
    <row r="383" spans="4:31" x14ac:dyDescent="0.25">
      <c r="D383" t="s">
        <v>513</v>
      </c>
      <c r="E383" t="s">
        <v>417</v>
      </c>
      <c r="F383">
        <v>27.42</v>
      </c>
      <c r="G383">
        <v>27.42</v>
      </c>
      <c r="H383">
        <v>1</v>
      </c>
      <c r="I383">
        <f t="shared" si="67"/>
        <v>0</v>
      </c>
      <c r="J383">
        <v>1</v>
      </c>
      <c r="K383">
        <f t="shared" si="68"/>
        <v>27.42</v>
      </c>
      <c r="L383" t="s">
        <v>418</v>
      </c>
      <c r="N383">
        <f t="shared" si="77"/>
        <v>1215.8422848</v>
      </c>
      <c r="O383">
        <f t="shared" si="69"/>
        <v>3.1824547673616956E-2</v>
      </c>
      <c r="P383" t="s">
        <v>39</v>
      </c>
      <c r="Q383">
        <f t="shared" si="70"/>
        <v>1.9693654266958422</v>
      </c>
      <c r="R383">
        <f t="shared" si="71"/>
        <v>54</v>
      </c>
      <c r="S383">
        <f t="shared" si="72"/>
        <v>54</v>
      </c>
      <c r="T383">
        <v>54</v>
      </c>
      <c r="U383">
        <f t="shared" si="73"/>
        <v>0</v>
      </c>
      <c r="V383">
        <v>0.67</v>
      </c>
      <c r="W383">
        <v>34.71</v>
      </c>
      <c r="X383">
        <f t="shared" si="74"/>
        <v>1255.8078</v>
      </c>
      <c r="Y383">
        <f t="shared" si="75"/>
        <v>1255.8078000000003</v>
      </c>
      <c r="Z383">
        <f t="shared" si="76"/>
        <v>1.8105770281346561E-16</v>
      </c>
      <c r="AB383" t="s">
        <v>419</v>
      </c>
      <c r="AE383" t="s">
        <v>420</v>
      </c>
    </row>
    <row r="384" spans="4:31" x14ac:dyDescent="0.25">
      <c r="D384" t="s">
        <v>514</v>
      </c>
      <c r="E384" t="s">
        <v>417</v>
      </c>
      <c r="F384">
        <v>32.840000000000003</v>
      </c>
      <c r="G384">
        <v>32.840000000000003</v>
      </c>
      <c r="H384">
        <v>1</v>
      </c>
      <c r="I384">
        <f t="shared" si="67"/>
        <v>0</v>
      </c>
      <c r="J384">
        <v>1</v>
      </c>
      <c r="K384">
        <f t="shared" si="68"/>
        <v>32.840000000000003</v>
      </c>
      <c r="L384" t="s">
        <v>418</v>
      </c>
      <c r="N384">
        <f t="shared" si="77"/>
        <v>1456.1728896</v>
      </c>
      <c r="O384">
        <f t="shared" si="69"/>
        <v>3.6680906616442584E-2</v>
      </c>
      <c r="P384" t="s">
        <v>39</v>
      </c>
      <c r="Q384">
        <f t="shared" si="70"/>
        <v>1.9792935444579778</v>
      </c>
      <c r="R384">
        <f t="shared" si="71"/>
        <v>65</v>
      </c>
      <c r="S384">
        <f t="shared" si="72"/>
        <v>65</v>
      </c>
      <c r="T384">
        <v>65</v>
      </c>
      <c r="U384">
        <f t="shared" si="73"/>
        <v>0</v>
      </c>
      <c r="V384">
        <v>0.67</v>
      </c>
      <c r="W384">
        <v>34.71</v>
      </c>
      <c r="X384">
        <f t="shared" si="74"/>
        <v>1511.6205000000002</v>
      </c>
      <c r="Y384">
        <f t="shared" si="75"/>
        <v>1511.6205000000002</v>
      </c>
      <c r="Z384">
        <f t="shared" si="76"/>
        <v>0</v>
      </c>
      <c r="AB384" t="s">
        <v>419</v>
      </c>
      <c r="AE384" t="s">
        <v>420</v>
      </c>
    </row>
    <row r="385" spans="4:31" x14ac:dyDescent="0.25">
      <c r="D385" t="s">
        <v>515</v>
      </c>
      <c r="E385" t="s">
        <v>417</v>
      </c>
      <c r="F385">
        <v>37.99</v>
      </c>
      <c r="G385">
        <v>37.99</v>
      </c>
      <c r="H385">
        <v>1</v>
      </c>
      <c r="I385">
        <f t="shared" si="67"/>
        <v>0</v>
      </c>
      <c r="J385">
        <v>1</v>
      </c>
      <c r="K385">
        <f t="shared" si="68"/>
        <v>37.99</v>
      </c>
      <c r="L385" t="s">
        <v>418</v>
      </c>
      <c r="N385">
        <f t="shared" si="77"/>
        <v>1684.5313055999998</v>
      </c>
      <c r="O385">
        <f t="shared" si="69"/>
        <v>-4.9785522801235375E-2</v>
      </c>
      <c r="P385" t="s">
        <v>39</v>
      </c>
      <c r="Q385">
        <f t="shared" si="70"/>
        <v>1.816267438799684</v>
      </c>
      <c r="R385">
        <f t="shared" si="71"/>
        <v>69</v>
      </c>
      <c r="S385">
        <f t="shared" si="72"/>
        <v>69</v>
      </c>
      <c r="T385">
        <v>69</v>
      </c>
      <c r="U385">
        <f t="shared" si="73"/>
        <v>0</v>
      </c>
      <c r="V385">
        <v>0.67</v>
      </c>
      <c r="W385">
        <v>34.71</v>
      </c>
      <c r="X385">
        <f t="shared" si="74"/>
        <v>1604.6433000000002</v>
      </c>
      <c r="Y385">
        <f t="shared" si="75"/>
        <v>1604.6433000000002</v>
      </c>
      <c r="Z385">
        <f t="shared" si="76"/>
        <v>0</v>
      </c>
      <c r="AB385" t="s">
        <v>419</v>
      </c>
      <c r="AE385" t="s">
        <v>420</v>
      </c>
    </row>
    <row r="386" spans="4:31" x14ac:dyDescent="0.25">
      <c r="D386" t="s">
        <v>516</v>
      </c>
      <c r="E386" t="s">
        <v>417</v>
      </c>
      <c r="F386">
        <v>41.47</v>
      </c>
      <c r="G386">
        <v>41.47</v>
      </c>
      <c r="H386">
        <v>1</v>
      </c>
      <c r="I386">
        <f t="shared" si="67"/>
        <v>0</v>
      </c>
      <c r="J386">
        <v>1</v>
      </c>
      <c r="K386">
        <f t="shared" si="68"/>
        <v>41.47</v>
      </c>
      <c r="L386" t="s">
        <v>418</v>
      </c>
      <c r="N386">
        <f t="shared" ref="N386:N417" si="78">K386*$N$3*$O$3</f>
        <v>1838.8395168</v>
      </c>
      <c r="O386">
        <f t="shared" si="69"/>
        <v>-8.3157351613488542E-2</v>
      </c>
      <c r="P386" t="s">
        <v>39</v>
      </c>
      <c r="Q386">
        <f t="shared" si="70"/>
        <v>1.760308656860381</v>
      </c>
      <c r="R386">
        <f t="shared" si="71"/>
        <v>73</v>
      </c>
      <c r="S386">
        <f t="shared" si="72"/>
        <v>73</v>
      </c>
      <c r="T386">
        <v>73</v>
      </c>
      <c r="U386">
        <f t="shared" si="73"/>
        <v>0</v>
      </c>
      <c r="V386">
        <v>0.67</v>
      </c>
      <c r="W386">
        <v>34.71</v>
      </c>
      <c r="X386">
        <f t="shared" si="74"/>
        <v>1697.6661000000001</v>
      </c>
      <c r="Y386">
        <f t="shared" si="75"/>
        <v>1697.6661000000001</v>
      </c>
      <c r="Z386">
        <f t="shared" si="76"/>
        <v>0</v>
      </c>
      <c r="AB386" t="s">
        <v>419</v>
      </c>
      <c r="AE386" t="s">
        <v>420</v>
      </c>
    </row>
    <row r="387" spans="4:31" x14ac:dyDescent="0.25">
      <c r="D387" t="s">
        <v>517</v>
      </c>
      <c r="E387" t="s">
        <v>417</v>
      </c>
      <c r="F387">
        <v>42.78</v>
      </c>
      <c r="G387">
        <v>42.78</v>
      </c>
      <c r="H387">
        <v>1</v>
      </c>
      <c r="I387">
        <f t="shared" si="67"/>
        <v>0</v>
      </c>
      <c r="J387">
        <v>1</v>
      </c>
      <c r="K387">
        <f t="shared" si="68"/>
        <v>42.78</v>
      </c>
      <c r="L387" t="s">
        <v>418</v>
      </c>
      <c r="N387">
        <f t="shared" si="78"/>
        <v>1896.9268031999998</v>
      </c>
      <c r="O387">
        <f t="shared" si="69"/>
        <v>0.20031125272513847</v>
      </c>
      <c r="P387" t="s">
        <v>39</v>
      </c>
      <c r="Q387">
        <f t="shared" si="70"/>
        <v>2.3842917251051894</v>
      </c>
      <c r="R387">
        <f t="shared" si="71"/>
        <v>102</v>
      </c>
      <c r="S387">
        <f t="shared" si="72"/>
        <v>102</v>
      </c>
      <c r="T387">
        <v>102</v>
      </c>
      <c r="U387">
        <f t="shared" si="73"/>
        <v>0</v>
      </c>
      <c r="V387">
        <v>0.67</v>
      </c>
      <c r="W387">
        <v>34.71</v>
      </c>
      <c r="X387">
        <f t="shared" si="74"/>
        <v>2372.0814</v>
      </c>
      <c r="Y387">
        <f t="shared" si="75"/>
        <v>2372.0814</v>
      </c>
      <c r="Z387">
        <f t="shared" si="76"/>
        <v>0</v>
      </c>
      <c r="AB387" t="s">
        <v>419</v>
      </c>
      <c r="AE387" t="s">
        <v>420</v>
      </c>
    </row>
    <row r="388" spans="4:31" x14ac:dyDescent="0.25">
      <c r="D388" t="s">
        <v>518</v>
      </c>
      <c r="E388" t="s">
        <v>417</v>
      </c>
      <c r="F388">
        <v>49.02</v>
      </c>
      <c r="G388">
        <v>49.02</v>
      </c>
      <c r="H388">
        <v>1</v>
      </c>
      <c r="I388">
        <f t="shared" si="67"/>
        <v>0</v>
      </c>
      <c r="J388">
        <v>1</v>
      </c>
      <c r="K388">
        <f t="shared" si="68"/>
        <v>49.02</v>
      </c>
      <c r="L388" t="s">
        <v>418</v>
      </c>
      <c r="N388">
        <f t="shared" si="78"/>
        <v>2173.6173887999998</v>
      </c>
      <c r="O388">
        <f t="shared" si="69"/>
        <v>0.22755367188571968</v>
      </c>
      <c r="P388" t="s">
        <v>39</v>
      </c>
      <c r="Q388">
        <f t="shared" si="70"/>
        <v>2.4683802529579761</v>
      </c>
      <c r="R388">
        <f t="shared" si="71"/>
        <v>121</v>
      </c>
      <c r="S388">
        <f t="shared" si="72"/>
        <v>121</v>
      </c>
      <c r="T388">
        <v>121</v>
      </c>
      <c r="U388">
        <f t="shared" si="73"/>
        <v>0</v>
      </c>
      <c r="V388">
        <v>0.67</v>
      </c>
      <c r="W388">
        <v>34.71</v>
      </c>
      <c r="X388">
        <f t="shared" si="74"/>
        <v>2813.9397000000004</v>
      </c>
      <c r="Y388">
        <f t="shared" si="75"/>
        <v>2813.9396999999999</v>
      </c>
      <c r="Z388">
        <f t="shared" si="76"/>
        <v>-1.6160522234590317E-16</v>
      </c>
      <c r="AB388" t="s">
        <v>419</v>
      </c>
      <c r="AE388" t="s">
        <v>420</v>
      </c>
    </row>
    <row r="389" spans="4:31" x14ac:dyDescent="0.25">
      <c r="D389" t="s">
        <v>519</v>
      </c>
      <c r="E389" t="s">
        <v>417</v>
      </c>
      <c r="F389">
        <v>8.08</v>
      </c>
      <c r="G389">
        <v>8.08</v>
      </c>
      <c r="H389">
        <v>1</v>
      </c>
      <c r="I389">
        <f t="shared" si="67"/>
        <v>0</v>
      </c>
      <c r="J389">
        <v>1</v>
      </c>
      <c r="K389">
        <f t="shared" si="68"/>
        <v>8.08</v>
      </c>
      <c r="L389" t="s">
        <v>418</v>
      </c>
      <c r="N389">
        <f t="shared" si="78"/>
        <v>358.2788352</v>
      </c>
      <c r="O389">
        <f t="shared" si="69"/>
        <v>0.42940498506220459</v>
      </c>
      <c r="P389" t="s">
        <v>39</v>
      </c>
      <c r="Q389">
        <f t="shared" si="70"/>
        <v>3.3415841584158414</v>
      </c>
      <c r="R389">
        <f t="shared" si="71"/>
        <v>27</v>
      </c>
      <c r="S389">
        <f t="shared" si="72"/>
        <v>27</v>
      </c>
      <c r="T389">
        <v>27</v>
      </c>
      <c r="U389">
        <f t="shared" si="73"/>
        <v>0</v>
      </c>
      <c r="V389">
        <v>0.67</v>
      </c>
      <c r="W389">
        <v>34.71</v>
      </c>
      <c r="X389">
        <f t="shared" si="74"/>
        <v>627.90390000000002</v>
      </c>
      <c r="Y389">
        <f t="shared" si="75"/>
        <v>627.90390000000014</v>
      </c>
      <c r="Z389">
        <f t="shared" si="76"/>
        <v>1.8105770281346561E-16</v>
      </c>
      <c r="AB389" t="s">
        <v>419</v>
      </c>
      <c r="AE389" t="s">
        <v>420</v>
      </c>
    </row>
    <row r="390" spans="4:31" x14ac:dyDescent="0.25">
      <c r="D390" t="s">
        <v>520</v>
      </c>
      <c r="E390" t="s">
        <v>417</v>
      </c>
      <c r="F390">
        <v>8.5</v>
      </c>
      <c r="G390">
        <v>8.5</v>
      </c>
      <c r="H390">
        <v>1</v>
      </c>
      <c r="I390">
        <f t="shared" si="67"/>
        <v>0</v>
      </c>
      <c r="J390">
        <v>1</v>
      </c>
      <c r="K390">
        <f t="shared" si="68"/>
        <v>8.5</v>
      </c>
      <c r="L390" t="s">
        <v>418</v>
      </c>
      <c r="N390">
        <f t="shared" si="78"/>
        <v>376.90223999999995</v>
      </c>
      <c r="O390">
        <f t="shared" si="69"/>
        <v>0.39974534319662619</v>
      </c>
      <c r="P390" t="s">
        <v>39</v>
      </c>
      <c r="Q390">
        <f t="shared" si="70"/>
        <v>3.1764705882352939</v>
      </c>
      <c r="R390">
        <f t="shared" si="71"/>
        <v>27</v>
      </c>
      <c r="S390">
        <f t="shared" si="72"/>
        <v>27</v>
      </c>
      <c r="T390">
        <v>27</v>
      </c>
      <c r="U390">
        <f t="shared" si="73"/>
        <v>0</v>
      </c>
      <c r="V390">
        <v>0.67</v>
      </c>
      <c r="W390">
        <v>34.71</v>
      </c>
      <c r="X390">
        <f t="shared" si="74"/>
        <v>627.90390000000002</v>
      </c>
      <c r="Y390">
        <f t="shared" si="75"/>
        <v>627.90390000000014</v>
      </c>
      <c r="Z390">
        <f t="shared" si="76"/>
        <v>1.8105770281346561E-16</v>
      </c>
      <c r="AB390" t="s">
        <v>419</v>
      </c>
      <c r="AE390" t="s">
        <v>420</v>
      </c>
    </row>
    <row r="391" spans="4:31" x14ac:dyDescent="0.25">
      <c r="D391" t="s">
        <v>521</v>
      </c>
      <c r="E391" t="s">
        <v>417</v>
      </c>
      <c r="F391">
        <v>8.07</v>
      </c>
      <c r="G391">
        <v>8.07</v>
      </c>
      <c r="H391">
        <v>1</v>
      </c>
      <c r="I391">
        <f t="shared" si="67"/>
        <v>0</v>
      </c>
      <c r="J391">
        <v>1</v>
      </c>
      <c r="K391">
        <f t="shared" si="68"/>
        <v>8.07</v>
      </c>
      <c r="L391" t="s">
        <v>418</v>
      </c>
      <c r="N391">
        <f t="shared" si="78"/>
        <v>357.83542079999995</v>
      </c>
      <c r="O391">
        <f t="shared" si="69"/>
        <v>0.43011116701138513</v>
      </c>
      <c r="P391" t="s">
        <v>39</v>
      </c>
      <c r="Q391">
        <f t="shared" si="70"/>
        <v>3.3457249070631967</v>
      </c>
      <c r="R391">
        <f t="shared" si="71"/>
        <v>27</v>
      </c>
      <c r="S391">
        <f t="shared" si="72"/>
        <v>27</v>
      </c>
      <c r="T391">
        <v>27</v>
      </c>
      <c r="U391">
        <f t="shared" si="73"/>
        <v>0</v>
      </c>
      <c r="V391">
        <v>0.67</v>
      </c>
      <c r="W391">
        <v>34.71</v>
      </c>
      <c r="X391">
        <f t="shared" si="74"/>
        <v>627.90390000000002</v>
      </c>
      <c r="Y391">
        <f t="shared" si="75"/>
        <v>627.90390000000014</v>
      </c>
      <c r="Z391">
        <f t="shared" si="76"/>
        <v>1.8105770281346561E-16</v>
      </c>
      <c r="AB391" t="s">
        <v>419</v>
      </c>
      <c r="AE391" t="s">
        <v>420</v>
      </c>
    </row>
    <row r="392" spans="4:31" x14ac:dyDescent="0.25">
      <c r="D392" t="s">
        <v>522</v>
      </c>
      <c r="E392" t="s">
        <v>417</v>
      </c>
      <c r="F392">
        <v>9.25</v>
      </c>
      <c r="G392">
        <v>9.25</v>
      </c>
      <c r="H392">
        <v>1</v>
      </c>
      <c r="I392">
        <f t="shared" si="67"/>
        <v>0</v>
      </c>
      <c r="J392">
        <v>1</v>
      </c>
      <c r="K392">
        <f t="shared" si="68"/>
        <v>9.25</v>
      </c>
      <c r="L392" t="s">
        <v>418</v>
      </c>
      <c r="N392">
        <f t="shared" si="78"/>
        <v>410.15832</v>
      </c>
      <c r="O392">
        <f t="shared" si="69"/>
        <v>0.34678169700809314</v>
      </c>
      <c r="P392" t="s">
        <v>39</v>
      </c>
      <c r="Q392">
        <f t="shared" si="70"/>
        <v>2.9189189189189189</v>
      </c>
      <c r="R392">
        <f t="shared" si="71"/>
        <v>27</v>
      </c>
      <c r="S392">
        <f t="shared" si="72"/>
        <v>27</v>
      </c>
      <c r="T392">
        <v>27</v>
      </c>
      <c r="U392">
        <f t="shared" si="73"/>
        <v>0</v>
      </c>
      <c r="V392">
        <v>0.67</v>
      </c>
      <c r="W392">
        <v>34.71</v>
      </c>
      <c r="X392">
        <f t="shared" si="74"/>
        <v>627.90390000000002</v>
      </c>
      <c r="Y392">
        <f t="shared" si="75"/>
        <v>627.90390000000014</v>
      </c>
      <c r="Z392">
        <f t="shared" si="76"/>
        <v>1.8105770281346561E-16</v>
      </c>
      <c r="AB392" t="s">
        <v>419</v>
      </c>
      <c r="AE392" t="s">
        <v>420</v>
      </c>
    </row>
    <row r="393" spans="4:31" x14ac:dyDescent="0.25">
      <c r="D393" t="s">
        <v>523</v>
      </c>
      <c r="E393" t="s">
        <v>417</v>
      </c>
      <c r="F393">
        <v>9.0399999999999991</v>
      </c>
      <c r="G393">
        <v>9.0399999999999991</v>
      </c>
      <c r="H393">
        <v>1</v>
      </c>
      <c r="I393">
        <f t="shared" si="67"/>
        <v>0</v>
      </c>
      <c r="J393">
        <v>1</v>
      </c>
      <c r="K393">
        <f t="shared" si="68"/>
        <v>9.0399999999999991</v>
      </c>
      <c r="L393" t="s">
        <v>418</v>
      </c>
      <c r="N393">
        <f t="shared" si="78"/>
        <v>400.84661759999989</v>
      </c>
      <c r="O393">
        <f t="shared" si="69"/>
        <v>0.36161151794088253</v>
      </c>
      <c r="P393" t="s">
        <v>39</v>
      </c>
      <c r="Q393">
        <f t="shared" si="70"/>
        <v>2.9867256637168142</v>
      </c>
      <c r="R393">
        <f t="shared" si="71"/>
        <v>27</v>
      </c>
      <c r="S393">
        <f t="shared" si="72"/>
        <v>27</v>
      </c>
      <c r="T393">
        <v>27</v>
      </c>
      <c r="U393">
        <f t="shared" si="73"/>
        <v>0</v>
      </c>
      <c r="V393">
        <v>0.67</v>
      </c>
      <c r="W393">
        <v>34.71</v>
      </c>
      <c r="X393">
        <f t="shared" si="74"/>
        <v>627.90390000000002</v>
      </c>
      <c r="Y393">
        <f t="shared" si="75"/>
        <v>627.90390000000014</v>
      </c>
      <c r="Z393">
        <f t="shared" si="76"/>
        <v>1.8105770281346561E-16</v>
      </c>
      <c r="AB393" t="s">
        <v>419</v>
      </c>
      <c r="AE393" t="s">
        <v>420</v>
      </c>
    </row>
    <row r="394" spans="4:31" x14ac:dyDescent="0.25">
      <c r="D394" t="s">
        <v>524</v>
      </c>
      <c r="E394" t="s">
        <v>417</v>
      </c>
      <c r="F394">
        <v>9.0399999999999991</v>
      </c>
      <c r="G394">
        <v>9.0399999999999991</v>
      </c>
      <c r="H394">
        <v>1</v>
      </c>
      <c r="I394">
        <f t="shared" si="67"/>
        <v>0</v>
      </c>
      <c r="J394">
        <v>1</v>
      </c>
      <c r="K394">
        <f t="shared" si="68"/>
        <v>9.0399999999999991</v>
      </c>
      <c r="L394" t="s">
        <v>418</v>
      </c>
      <c r="N394">
        <f t="shared" si="78"/>
        <v>400.84661759999989</v>
      </c>
      <c r="O394">
        <f t="shared" si="69"/>
        <v>0.36161151794088253</v>
      </c>
      <c r="P394" t="s">
        <v>39</v>
      </c>
      <c r="Q394">
        <f t="shared" si="70"/>
        <v>2.9867256637168142</v>
      </c>
      <c r="R394">
        <f t="shared" si="71"/>
        <v>27</v>
      </c>
      <c r="S394">
        <f t="shared" si="72"/>
        <v>27</v>
      </c>
      <c r="T394">
        <v>27</v>
      </c>
      <c r="U394">
        <f t="shared" si="73"/>
        <v>0</v>
      </c>
      <c r="V394">
        <v>0.67</v>
      </c>
      <c r="W394">
        <v>34.71</v>
      </c>
      <c r="X394">
        <f t="shared" si="74"/>
        <v>627.90390000000002</v>
      </c>
      <c r="Y394">
        <f t="shared" si="75"/>
        <v>627.90390000000014</v>
      </c>
      <c r="Z394">
        <f t="shared" si="76"/>
        <v>1.8105770281346561E-16</v>
      </c>
      <c r="AB394" t="s">
        <v>419</v>
      </c>
      <c r="AE394" t="s">
        <v>420</v>
      </c>
    </row>
    <row r="395" spans="4:31" x14ac:dyDescent="0.25">
      <c r="D395" t="s">
        <v>525</v>
      </c>
      <c r="E395" t="s">
        <v>417</v>
      </c>
      <c r="F395">
        <v>9.1</v>
      </c>
      <c r="G395">
        <v>9.1</v>
      </c>
      <c r="H395">
        <v>1</v>
      </c>
      <c r="I395">
        <f t="shared" si="67"/>
        <v>0</v>
      </c>
      <c r="J395">
        <v>1</v>
      </c>
      <c r="K395">
        <f t="shared" si="68"/>
        <v>9.1</v>
      </c>
      <c r="L395" t="s">
        <v>418</v>
      </c>
      <c r="N395">
        <f t="shared" si="78"/>
        <v>403.50710399999991</v>
      </c>
      <c r="O395">
        <f t="shared" si="69"/>
        <v>0.3573744262457999</v>
      </c>
      <c r="P395" t="s">
        <v>39</v>
      </c>
      <c r="Q395">
        <f t="shared" si="70"/>
        <v>2.9670329670329672</v>
      </c>
      <c r="R395">
        <f t="shared" si="71"/>
        <v>27</v>
      </c>
      <c r="S395">
        <f t="shared" si="72"/>
        <v>27</v>
      </c>
      <c r="T395">
        <v>27</v>
      </c>
      <c r="U395">
        <f t="shared" si="73"/>
        <v>0</v>
      </c>
      <c r="V395">
        <v>0.67</v>
      </c>
      <c r="W395">
        <v>34.71</v>
      </c>
      <c r="X395">
        <f t="shared" si="74"/>
        <v>627.90390000000002</v>
      </c>
      <c r="Y395">
        <f t="shared" si="75"/>
        <v>627.90390000000014</v>
      </c>
      <c r="Z395">
        <f t="shared" si="76"/>
        <v>1.8105770281346561E-16</v>
      </c>
      <c r="AB395" t="s">
        <v>419</v>
      </c>
      <c r="AE395" t="s">
        <v>420</v>
      </c>
    </row>
    <row r="396" spans="4:31" x14ac:dyDescent="0.25">
      <c r="D396" t="s">
        <v>526</v>
      </c>
      <c r="E396" t="s">
        <v>417</v>
      </c>
      <c r="F396">
        <v>10.26</v>
      </c>
      <c r="G396">
        <v>10.26</v>
      </c>
      <c r="H396">
        <v>1</v>
      </c>
      <c r="I396">
        <f t="shared" si="67"/>
        <v>0</v>
      </c>
      <c r="J396">
        <v>1</v>
      </c>
      <c r="K396">
        <f t="shared" si="68"/>
        <v>10.26</v>
      </c>
      <c r="L396" t="s">
        <v>418</v>
      </c>
      <c r="N396">
        <f t="shared" si="78"/>
        <v>454.94317439999998</v>
      </c>
      <c r="O396">
        <f t="shared" si="69"/>
        <v>0.30133384442155192</v>
      </c>
      <c r="P396" t="s">
        <v>39</v>
      </c>
      <c r="Q396">
        <f t="shared" si="70"/>
        <v>2.7290448343079921</v>
      </c>
      <c r="R396">
        <f t="shared" si="71"/>
        <v>27.999999999999996</v>
      </c>
      <c r="S396">
        <f t="shared" si="72"/>
        <v>27.999999999999996</v>
      </c>
      <c r="T396">
        <v>28</v>
      </c>
      <c r="U396">
        <f t="shared" si="73"/>
        <v>1.2688263138573219E-16</v>
      </c>
      <c r="V396">
        <v>0.67</v>
      </c>
      <c r="W396">
        <v>34.71</v>
      </c>
      <c r="X396">
        <f t="shared" si="74"/>
        <v>651.15959999999995</v>
      </c>
      <c r="Y396">
        <f t="shared" si="75"/>
        <v>651.15959999999995</v>
      </c>
      <c r="Z396">
        <f t="shared" si="76"/>
        <v>0</v>
      </c>
      <c r="AB396" t="s">
        <v>419</v>
      </c>
      <c r="AE396" t="s">
        <v>420</v>
      </c>
    </row>
    <row r="397" spans="4:31" x14ac:dyDescent="0.25">
      <c r="D397" t="s">
        <v>527</v>
      </c>
      <c r="E397" t="s">
        <v>417</v>
      </c>
      <c r="F397">
        <v>10.41</v>
      </c>
      <c r="G397">
        <v>10.41</v>
      </c>
      <c r="H397">
        <v>1</v>
      </c>
      <c r="I397">
        <f t="shared" si="67"/>
        <v>0</v>
      </c>
      <c r="J397">
        <v>1</v>
      </c>
      <c r="K397">
        <f t="shared" si="68"/>
        <v>10.41</v>
      </c>
      <c r="L397" t="s">
        <v>418</v>
      </c>
      <c r="N397">
        <f t="shared" si="78"/>
        <v>461.59439039999995</v>
      </c>
      <c r="O397">
        <f t="shared" si="69"/>
        <v>0.291119426942335</v>
      </c>
      <c r="P397" t="s">
        <v>39</v>
      </c>
      <c r="Q397">
        <f t="shared" si="70"/>
        <v>2.6897214217098941</v>
      </c>
      <c r="R397">
        <f t="shared" si="71"/>
        <v>28</v>
      </c>
      <c r="S397">
        <f t="shared" si="72"/>
        <v>28</v>
      </c>
      <c r="T397">
        <v>28</v>
      </c>
      <c r="U397">
        <f t="shared" si="73"/>
        <v>0</v>
      </c>
      <c r="V397">
        <v>0.67</v>
      </c>
      <c r="W397">
        <v>34.71</v>
      </c>
      <c r="X397">
        <f t="shared" si="74"/>
        <v>651.15960000000007</v>
      </c>
      <c r="Y397">
        <f t="shared" si="75"/>
        <v>651.15960000000007</v>
      </c>
      <c r="Z397">
        <f t="shared" si="76"/>
        <v>0</v>
      </c>
      <c r="AB397" t="s">
        <v>419</v>
      </c>
      <c r="AE397" t="s">
        <v>420</v>
      </c>
    </row>
    <row r="398" spans="4:31" x14ac:dyDescent="0.25">
      <c r="D398" t="s">
        <v>528</v>
      </c>
      <c r="E398" t="s">
        <v>417</v>
      </c>
      <c r="F398">
        <v>11.29</v>
      </c>
      <c r="G398">
        <v>11.29</v>
      </c>
      <c r="H398">
        <v>1</v>
      </c>
      <c r="I398">
        <f t="shared" si="67"/>
        <v>0</v>
      </c>
      <c r="J398">
        <v>1</v>
      </c>
      <c r="K398">
        <f t="shared" si="68"/>
        <v>11.29</v>
      </c>
      <c r="L398" t="s">
        <v>418</v>
      </c>
      <c r="N398">
        <f t="shared" si="78"/>
        <v>500.61485759999988</v>
      </c>
      <c r="O398">
        <f t="shared" si="69"/>
        <v>0.20272057937528359</v>
      </c>
      <c r="P398" t="s">
        <v>39</v>
      </c>
      <c r="Q398">
        <f t="shared" si="70"/>
        <v>2.3914968999114263</v>
      </c>
      <c r="R398">
        <f t="shared" si="71"/>
        <v>27</v>
      </c>
      <c r="S398">
        <f t="shared" si="72"/>
        <v>27</v>
      </c>
      <c r="T398">
        <v>27</v>
      </c>
      <c r="U398">
        <f t="shared" si="73"/>
        <v>0</v>
      </c>
      <c r="V398">
        <v>0.67</v>
      </c>
      <c r="W398">
        <v>34.71</v>
      </c>
      <c r="X398">
        <f t="shared" si="74"/>
        <v>627.90390000000002</v>
      </c>
      <c r="Y398">
        <f t="shared" si="75"/>
        <v>627.90390000000014</v>
      </c>
      <c r="Z398">
        <f t="shared" si="76"/>
        <v>1.8105770281346561E-16</v>
      </c>
      <c r="AB398" t="s">
        <v>419</v>
      </c>
      <c r="AE398" t="s">
        <v>420</v>
      </c>
    </row>
    <row r="399" spans="4:31" x14ac:dyDescent="0.25">
      <c r="D399" t="s">
        <v>529</v>
      </c>
      <c r="E399" t="s">
        <v>417</v>
      </c>
      <c r="F399">
        <v>11.29</v>
      </c>
      <c r="G399">
        <v>11.29</v>
      </c>
      <c r="H399">
        <v>1</v>
      </c>
      <c r="I399">
        <f t="shared" si="67"/>
        <v>0</v>
      </c>
      <c r="J399">
        <v>1</v>
      </c>
      <c r="K399">
        <f t="shared" si="68"/>
        <v>11.29</v>
      </c>
      <c r="L399" t="s">
        <v>418</v>
      </c>
      <c r="N399">
        <f t="shared" si="78"/>
        <v>500.61485759999988</v>
      </c>
      <c r="O399">
        <f t="shared" si="69"/>
        <v>0.20272057937528359</v>
      </c>
      <c r="P399" t="s">
        <v>39</v>
      </c>
      <c r="Q399">
        <f t="shared" si="70"/>
        <v>2.3914968999114263</v>
      </c>
      <c r="R399">
        <f t="shared" si="71"/>
        <v>27</v>
      </c>
      <c r="S399">
        <f t="shared" si="72"/>
        <v>27</v>
      </c>
      <c r="T399">
        <v>27</v>
      </c>
      <c r="U399">
        <f t="shared" si="73"/>
        <v>0</v>
      </c>
      <c r="V399">
        <v>0.67</v>
      </c>
      <c r="W399">
        <v>34.71</v>
      </c>
      <c r="X399">
        <f t="shared" si="74"/>
        <v>627.90390000000002</v>
      </c>
      <c r="Y399">
        <f t="shared" si="75"/>
        <v>627.90390000000014</v>
      </c>
      <c r="Z399">
        <f t="shared" si="76"/>
        <v>1.8105770281346561E-16</v>
      </c>
      <c r="AB399" t="s">
        <v>419</v>
      </c>
      <c r="AE399" t="s">
        <v>420</v>
      </c>
    </row>
    <row r="400" spans="4:31" x14ac:dyDescent="0.25">
      <c r="D400" t="s">
        <v>530</v>
      </c>
      <c r="E400" t="s">
        <v>417</v>
      </c>
      <c r="F400">
        <v>13.37</v>
      </c>
      <c r="G400">
        <v>13.37</v>
      </c>
      <c r="H400">
        <v>1</v>
      </c>
      <c r="I400">
        <f t="shared" si="67"/>
        <v>0</v>
      </c>
      <c r="J400">
        <v>1</v>
      </c>
      <c r="K400">
        <f t="shared" si="68"/>
        <v>13.37</v>
      </c>
      <c r="L400" t="s">
        <v>418</v>
      </c>
      <c r="N400">
        <f t="shared" si="78"/>
        <v>592.84505279999985</v>
      </c>
      <c r="O400">
        <f t="shared" si="69"/>
        <v>0.22750114595561546</v>
      </c>
      <c r="P400" t="s">
        <v>39</v>
      </c>
      <c r="Q400">
        <f t="shared" si="70"/>
        <v>2.4682124158563949</v>
      </c>
      <c r="R400">
        <f t="shared" si="71"/>
        <v>33</v>
      </c>
      <c r="S400">
        <f t="shared" si="72"/>
        <v>33</v>
      </c>
      <c r="T400">
        <v>33</v>
      </c>
      <c r="U400">
        <f t="shared" si="73"/>
        <v>0</v>
      </c>
      <c r="V400">
        <v>0.67</v>
      </c>
      <c r="W400">
        <v>34.71</v>
      </c>
      <c r="X400">
        <f t="shared" si="74"/>
        <v>767.43810000000008</v>
      </c>
      <c r="Y400">
        <f t="shared" si="75"/>
        <v>767.43810000000008</v>
      </c>
      <c r="Z400">
        <f t="shared" si="76"/>
        <v>0</v>
      </c>
      <c r="AB400" t="s">
        <v>419</v>
      </c>
      <c r="AE400" t="s">
        <v>420</v>
      </c>
    </row>
    <row r="401" spans="4:31" x14ac:dyDescent="0.25">
      <c r="D401" t="s">
        <v>531</v>
      </c>
      <c r="E401" t="s">
        <v>417</v>
      </c>
      <c r="F401">
        <v>13.82</v>
      </c>
      <c r="G401">
        <v>13.82</v>
      </c>
      <c r="H401">
        <v>1</v>
      </c>
      <c r="I401">
        <f t="shared" si="67"/>
        <v>0</v>
      </c>
      <c r="J401">
        <v>1</v>
      </c>
      <c r="K401">
        <f t="shared" si="68"/>
        <v>13.82</v>
      </c>
      <c r="L401" t="s">
        <v>418</v>
      </c>
      <c r="N401">
        <f t="shared" si="78"/>
        <v>612.79870080000001</v>
      </c>
      <c r="O401">
        <f t="shared" si="69"/>
        <v>0.20150081055397179</v>
      </c>
      <c r="P401" t="s">
        <v>39</v>
      </c>
      <c r="Q401">
        <f t="shared" si="70"/>
        <v>2.3878437047756873</v>
      </c>
      <c r="R401">
        <f t="shared" si="71"/>
        <v>33</v>
      </c>
      <c r="S401">
        <f t="shared" si="72"/>
        <v>33</v>
      </c>
      <c r="T401">
        <v>33</v>
      </c>
      <c r="U401">
        <f t="shared" si="73"/>
        <v>0</v>
      </c>
      <c r="V401">
        <v>0.67</v>
      </c>
      <c r="W401">
        <v>34.71</v>
      </c>
      <c r="X401">
        <f t="shared" si="74"/>
        <v>767.43810000000008</v>
      </c>
      <c r="Y401">
        <f t="shared" si="75"/>
        <v>767.43810000000008</v>
      </c>
      <c r="Z401">
        <f t="shared" si="76"/>
        <v>0</v>
      </c>
      <c r="AB401" t="s">
        <v>419</v>
      </c>
      <c r="AE401" t="s">
        <v>420</v>
      </c>
    </row>
    <row r="402" spans="4:31" x14ac:dyDescent="0.25">
      <c r="D402" t="s">
        <v>532</v>
      </c>
      <c r="E402" t="s">
        <v>417</v>
      </c>
      <c r="F402">
        <v>14.34</v>
      </c>
      <c r="G402">
        <v>14.34</v>
      </c>
      <c r="H402">
        <v>1</v>
      </c>
      <c r="I402">
        <f t="shared" si="67"/>
        <v>0</v>
      </c>
      <c r="J402">
        <v>1</v>
      </c>
      <c r="K402">
        <f t="shared" si="68"/>
        <v>14.34</v>
      </c>
      <c r="L402" t="s">
        <v>418</v>
      </c>
      <c r="N402">
        <f t="shared" si="78"/>
        <v>635.85624959999996</v>
      </c>
      <c r="O402">
        <f t="shared" si="69"/>
        <v>0.26102830517923609</v>
      </c>
      <c r="P402" t="s">
        <v>39</v>
      </c>
      <c r="Q402">
        <f t="shared" si="70"/>
        <v>2.580195258019526</v>
      </c>
      <c r="R402">
        <f t="shared" si="71"/>
        <v>37</v>
      </c>
      <c r="S402">
        <f t="shared" si="72"/>
        <v>37</v>
      </c>
      <c r="T402">
        <v>37</v>
      </c>
      <c r="U402">
        <f t="shared" si="73"/>
        <v>0</v>
      </c>
      <c r="V402">
        <v>0.67</v>
      </c>
      <c r="W402">
        <v>34.71</v>
      </c>
      <c r="X402">
        <f t="shared" si="74"/>
        <v>860.46090000000015</v>
      </c>
      <c r="Y402">
        <f t="shared" si="75"/>
        <v>860.46090000000004</v>
      </c>
      <c r="Z402">
        <f t="shared" si="76"/>
        <v>-1.3212318853955595E-16</v>
      </c>
      <c r="AB402" t="s">
        <v>419</v>
      </c>
      <c r="AE402" t="s">
        <v>420</v>
      </c>
    </row>
    <row r="403" spans="4:31" x14ac:dyDescent="0.25">
      <c r="D403" t="s">
        <v>533</v>
      </c>
      <c r="E403" t="s">
        <v>417</v>
      </c>
      <c r="F403">
        <v>14.56</v>
      </c>
      <c r="G403">
        <v>14.56</v>
      </c>
      <c r="H403">
        <v>1</v>
      </c>
      <c r="I403">
        <f t="shared" si="67"/>
        <v>0</v>
      </c>
      <c r="J403">
        <v>1</v>
      </c>
      <c r="K403">
        <f t="shared" si="68"/>
        <v>14.56</v>
      </c>
      <c r="L403" t="s">
        <v>418</v>
      </c>
      <c r="N403">
        <f t="shared" si="78"/>
        <v>645.61136640000007</v>
      </c>
      <c r="O403">
        <f t="shared" si="69"/>
        <v>0.22884931149495968</v>
      </c>
      <c r="P403" t="s">
        <v>39</v>
      </c>
      <c r="Q403">
        <f t="shared" si="70"/>
        <v>2.4725274725274726</v>
      </c>
      <c r="R403">
        <f t="shared" si="71"/>
        <v>36</v>
      </c>
      <c r="S403">
        <f t="shared" si="72"/>
        <v>36</v>
      </c>
      <c r="T403">
        <v>36</v>
      </c>
      <c r="U403">
        <f t="shared" si="73"/>
        <v>0</v>
      </c>
      <c r="V403">
        <v>0.67</v>
      </c>
      <c r="W403">
        <v>34.71</v>
      </c>
      <c r="X403">
        <f t="shared" si="74"/>
        <v>837.2052000000001</v>
      </c>
      <c r="Y403">
        <f t="shared" si="75"/>
        <v>837.20519999999999</v>
      </c>
      <c r="Z403">
        <f t="shared" si="76"/>
        <v>-1.357932771100992E-16</v>
      </c>
      <c r="AB403" t="s">
        <v>419</v>
      </c>
      <c r="AE403" t="s">
        <v>420</v>
      </c>
    </row>
    <row r="404" spans="4:31" x14ac:dyDescent="0.25">
      <c r="D404" t="s">
        <v>534</v>
      </c>
      <c r="E404" t="s">
        <v>417</v>
      </c>
      <c r="F404">
        <v>16.260000000000002</v>
      </c>
      <c r="G404">
        <v>16.260000000000002</v>
      </c>
      <c r="H404">
        <v>1</v>
      </c>
      <c r="I404">
        <f t="shared" si="67"/>
        <v>0</v>
      </c>
      <c r="J404">
        <v>1</v>
      </c>
      <c r="K404">
        <f t="shared" si="68"/>
        <v>16.260000000000002</v>
      </c>
      <c r="L404" t="s">
        <v>418</v>
      </c>
      <c r="N404">
        <f t="shared" si="78"/>
        <v>720.99181439999995</v>
      </c>
      <c r="O404">
        <f t="shared" si="69"/>
        <v>0.18413684387053511</v>
      </c>
      <c r="P404" t="s">
        <v>39</v>
      </c>
      <c r="Q404">
        <f t="shared" si="70"/>
        <v>2.3370233702337022</v>
      </c>
      <c r="R404">
        <f t="shared" si="71"/>
        <v>38</v>
      </c>
      <c r="S404">
        <f t="shared" si="72"/>
        <v>38</v>
      </c>
      <c r="T404">
        <v>38</v>
      </c>
      <c r="U404">
        <f t="shared" si="73"/>
        <v>0</v>
      </c>
      <c r="V404">
        <v>0.67</v>
      </c>
      <c r="W404">
        <v>34.71</v>
      </c>
      <c r="X404">
        <f t="shared" si="74"/>
        <v>883.71660000000008</v>
      </c>
      <c r="Y404">
        <f t="shared" si="75"/>
        <v>883.71660000000008</v>
      </c>
      <c r="Z404">
        <f t="shared" si="76"/>
        <v>0</v>
      </c>
      <c r="AB404" t="s">
        <v>419</v>
      </c>
      <c r="AE404" t="s">
        <v>420</v>
      </c>
    </row>
    <row r="405" spans="4:31" x14ac:dyDescent="0.25">
      <c r="D405" t="s">
        <v>535</v>
      </c>
      <c r="E405" t="s">
        <v>417</v>
      </c>
      <c r="F405">
        <v>17.989999999999998</v>
      </c>
      <c r="G405">
        <v>17.989999999999998</v>
      </c>
      <c r="H405">
        <v>1</v>
      </c>
      <c r="I405">
        <f t="shared" si="67"/>
        <v>0</v>
      </c>
      <c r="J405">
        <v>1</v>
      </c>
      <c r="K405">
        <f t="shared" si="68"/>
        <v>17.989999999999998</v>
      </c>
      <c r="L405" t="s">
        <v>418</v>
      </c>
      <c r="N405">
        <f t="shared" si="78"/>
        <v>797.70250559999988</v>
      </c>
      <c r="O405">
        <f t="shared" si="69"/>
        <v>0.14246560456146254</v>
      </c>
      <c r="P405" t="s">
        <v>39</v>
      </c>
      <c r="Q405">
        <f t="shared" si="70"/>
        <v>2.2234574763757644</v>
      </c>
      <c r="R405">
        <f t="shared" si="71"/>
        <v>40</v>
      </c>
      <c r="S405">
        <f t="shared" si="72"/>
        <v>40</v>
      </c>
      <c r="T405">
        <v>40</v>
      </c>
      <c r="U405">
        <f t="shared" si="73"/>
        <v>0</v>
      </c>
      <c r="V405">
        <v>0.67</v>
      </c>
      <c r="W405">
        <v>34.71</v>
      </c>
      <c r="X405">
        <f t="shared" si="74"/>
        <v>930.22800000000007</v>
      </c>
      <c r="Y405">
        <f t="shared" si="75"/>
        <v>930.22800000000007</v>
      </c>
      <c r="Z405">
        <f t="shared" si="76"/>
        <v>0</v>
      </c>
      <c r="AB405" t="s">
        <v>419</v>
      </c>
      <c r="AE405" t="s">
        <v>420</v>
      </c>
    </row>
    <row r="406" spans="4:31" x14ac:dyDescent="0.25">
      <c r="D406" t="s">
        <v>536</v>
      </c>
      <c r="E406" t="s">
        <v>417</v>
      </c>
      <c r="F406">
        <v>18.39</v>
      </c>
      <c r="G406">
        <v>18.39</v>
      </c>
      <c r="H406">
        <v>1</v>
      </c>
      <c r="I406">
        <f t="shared" si="67"/>
        <v>0</v>
      </c>
      <c r="J406">
        <v>1</v>
      </c>
      <c r="K406">
        <f t="shared" si="68"/>
        <v>18.39</v>
      </c>
      <c r="L406" t="s">
        <v>418</v>
      </c>
      <c r="N406">
        <f t="shared" si="78"/>
        <v>815.43908159999989</v>
      </c>
      <c r="O406">
        <f t="shared" si="69"/>
        <v>0.26949890994465897</v>
      </c>
      <c r="P406" t="s">
        <v>39</v>
      </c>
      <c r="Q406">
        <f t="shared" si="70"/>
        <v>2.6101141924959217</v>
      </c>
      <c r="R406">
        <f t="shared" si="71"/>
        <v>48</v>
      </c>
      <c r="S406">
        <f t="shared" si="72"/>
        <v>48</v>
      </c>
      <c r="T406">
        <v>48</v>
      </c>
      <c r="U406">
        <f t="shared" si="73"/>
        <v>0</v>
      </c>
      <c r="V406">
        <v>0.67</v>
      </c>
      <c r="W406">
        <v>34.71</v>
      </c>
      <c r="X406">
        <f t="shared" si="74"/>
        <v>1116.2736000000002</v>
      </c>
      <c r="Y406">
        <f t="shared" si="75"/>
        <v>1116.2736</v>
      </c>
      <c r="Z406">
        <f t="shared" si="76"/>
        <v>-2.0368991566514878E-16</v>
      </c>
      <c r="AB406" t="s">
        <v>419</v>
      </c>
      <c r="AE406" t="s">
        <v>420</v>
      </c>
    </row>
    <row r="407" spans="4:31" x14ac:dyDescent="0.25">
      <c r="D407" t="s">
        <v>537</v>
      </c>
      <c r="E407" t="s">
        <v>417</v>
      </c>
      <c r="F407">
        <v>25.67</v>
      </c>
      <c r="G407">
        <v>25.67</v>
      </c>
      <c r="H407">
        <v>1</v>
      </c>
      <c r="I407">
        <f t="shared" si="67"/>
        <v>0</v>
      </c>
      <c r="J407">
        <v>1</v>
      </c>
      <c r="K407">
        <f t="shared" si="68"/>
        <v>25.67</v>
      </c>
      <c r="L407" t="s">
        <v>418</v>
      </c>
      <c r="N407">
        <f t="shared" si="78"/>
        <v>1138.2447648</v>
      </c>
      <c r="O407">
        <f t="shared" si="69"/>
        <v>0.19762680793857218</v>
      </c>
      <c r="P407" t="s">
        <v>39</v>
      </c>
      <c r="Q407">
        <f t="shared" si="70"/>
        <v>2.3763147643163225</v>
      </c>
      <c r="R407">
        <f t="shared" si="71"/>
        <v>61</v>
      </c>
      <c r="S407">
        <f t="shared" si="72"/>
        <v>61</v>
      </c>
      <c r="T407">
        <v>61</v>
      </c>
      <c r="U407">
        <f t="shared" si="73"/>
        <v>0</v>
      </c>
      <c r="V407">
        <v>0.67</v>
      </c>
      <c r="W407">
        <v>34.71</v>
      </c>
      <c r="X407">
        <f t="shared" si="74"/>
        <v>1418.5977000000003</v>
      </c>
      <c r="Y407">
        <f t="shared" si="75"/>
        <v>1418.5977</v>
      </c>
      <c r="Z407">
        <f t="shared" si="76"/>
        <v>-1.6028058937585479E-16</v>
      </c>
      <c r="AB407" t="s">
        <v>419</v>
      </c>
      <c r="AE407" t="s">
        <v>420</v>
      </c>
    </row>
    <row r="408" spans="4:31" x14ac:dyDescent="0.25">
      <c r="D408" t="s">
        <v>538</v>
      </c>
      <c r="E408" t="s">
        <v>417</v>
      </c>
      <c r="F408">
        <v>26.01</v>
      </c>
      <c r="G408">
        <v>26.01</v>
      </c>
      <c r="H408">
        <v>1</v>
      </c>
      <c r="I408">
        <f t="shared" si="67"/>
        <v>0</v>
      </c>
      <c r="J408">
        <v>1</v>
      </c>
      <c r="K408">
        <f t="shared" si="68"/>
        <v>26.01</v>
      </c>
      <c r="L408" t="s">
        <v>418</v>
      </c>
      <c r="N408">
        <f t="shared" si="78"/>
        <v>1153.3208543999999</v>
      </c>
      <c r="O408">
        <f t="shared" si="69"/>
        <v>0.18699934844106975</v>
      </c>
      <c r="P408" t="s">
        <v>39</v>
      </c>
      <c r="Q408">
        <f t="shared" si="70"/>
        <v>2.3452518262206841</v>
      </c>
      <c r="R408">
        <f t="shared" si="71"/>
        <v>60.999999999999993</v>
      </c>
      <c r="S408">
        <f t="shared" si="72"/>
        <v>60.999999999999993</v>
      </c>
      <c r="T408">
        <v>61</v>
      </c>
      <c r="U408">
        <f t="shared" si="73"/>
        <v>1.1648241569837709E-16</v>
      </c>
      <c r="V408">
        <v>0.67</v>
      </c>
      <c r="W408">
        <v>34.71</v>
      </c>
      <c r="X408">
        <f t="shared" si="74"/>
        <v>1418.5977</v>
      </c>
      <c r="Y408">
        <f t="shared" si="75"/>
        <v>1418.5977</v>
      </c>
      <c r="Z408">
        <f t="shared" si="76"/>
        <v>0</v>
      </c>
      <c r="AB408" t="s">
        <v>419</v>
      </c>
      <c r="AE408" t="s">
        <v>420</v>
      </c>
    </row>
    <row r="409" spans="4:31" x14ac:dyDescent="0.25">
      <c r="D409" t="s">
        <v>539</v>
      </c>
      <c r="E409" t="s">
        <v>417</v>
      </c>
      <c r="F409">
        <v>27.67</v>
      </c>
      <c r="G409">
        <v>27.67</v>
      </c>
      <c r="H409">
        <v>1</v>
      </c>
      <c r="I409">
        <f t="shared" si="67"/>
        <v>0</v>
      </c>
      <c r="J409">
        <v>1</v>
      </c>
      <c r="K409">
        <f t="shared" si="68"/>
        <v>27.67</v>
      </c>
      <c r="L409" t="s">
        <v>418</v>
      </c>
      <c r="N409">
        <f t="shared" si="78"/>
        <v>1226.9276447999998</v>
      </c>
      <c r="O409">
        <f t="shared" si="69"/>
        <v>0.18833619628736203</v>
      </c>
      <c r="P409" t="s">
        <v>39</v>
      </c>
      <c r="Q409">
        <f t="shared" si="70"/>
        <v>2.3491145645103</v>
      </c>
      <c r="R409">
        <f t="shared" si="71"/>
        <v>65</v>
      </c>
      <c r="S409">
        <f t="shared" si="72"/>
        <v>65</v>
      </c>
      <c r="T409">
        <v>65</v>
      </c>
      <c r="U409">
        <f t="shared" si="73"/>
        <v>0</v>
      </c>
      <c r="V409">
        <v>0.67</v>
      </c>
      <c r="W409">
        <v>34.71</v>
      </c>
      <c r="X409">
        <f t="shared" si="74"/>
        <v>1511.6205000000002</v>
      </c>
      <c r="Y409">
        <f t="shared" si="75"/>
        <v>1511.6205000000002</v>
      </c>
      <c r="Z409">
        <f t="shared" si="76"/>
        <v>0</v>
      </c>
      <c r="AB409" t="s">
        <v>419</v>
      </c>
      <c r="AE409" t="s">
        <v>420</v>
      </c>
    </row>
    <row r="410" spans="4:31" x14ac:dyDescent="0.25">
      <c r="D410" t="s">
        <v>540</v>
      </c>
      <c r="E410" t="s">
        <v>417</v>
      </c>
      <c r="F410">
        <v>31.41</v>
      </c>
      <c r="G410">
        <v>31.41</v>
      </c>
      <c r="H410">
        <v>1</v>
      </c>
      <c r="I410">
        <f t="shared" si="67"/>
        <v>0</v>
      </c>
      <c r="J410">
        <v>1</v>
      </c>
      <c r="K410">
        <f t="shared" si="68"/>
        <v>31.41</v>
      </c>
      <c r="L410" t="s">
        <v>418</v>
      </c>
      <c r="N410">
        <f t="shared" si="78"/>
        <v>1392.7646304</v>
      </c>
      <c r="O410">
        <f t="shared" si="69"/>
        <v>0.1192768740566829</v>
      </c>
      <c r="P410" t="s">
        <v>39</v>
      </c>
      <c r="Q410">
        <f t="shared" si="70"/>
        <v>2.1649156319643423</v>
      </c>
      <c r="R410">
        <f t="shared" si="71"/>
        <v>68</v>
      </c>
      <c r="S410">
        <f t="shared" si="72"/>
        <v>68</v>
      </c>
      <c r="T410">
        <v>68</v>
      </c>
      <c r="U410">
        <f t="shared" si="73"/>
        <v>0</v>
      </c>
      <c r="V410">
        <v>0.67</v>
      </c>
      <c r="W410">
        <v>34.71</v>
      </c>
      <c r="X410">
        <f t="shared" si="74"/>
        <v>1581.3876</v>
      </c>
      <c r="Y410">
        <f t="shared" si="75"/>
        <v>1581.3876000000002</v>
      </c>
      <c r="Z410">
        <f t="shared" si="76"/>
        <v>1.4378111694010505E-16</v>
      </c>
      <c r="AB410" t="s">
        <v>419</v>
      </c>
      <c r="AE410" t="s">
        <v>420</v>
      </c>
    </row>
    <row r="411" spans="4:31" x14ac:dyDescent="0.25">
      <c r="D411" t="s">
        <v>541</v>
      </c>
      <c r="E411" t="s">
        <v>417</v>
      </c>
      <c r="F411">
        <v>31.86</v>
      </c>
      <c r="G411">
        <v>31.86</v>
      </c>
      <c r="H411">
        <v>1</v>
      </c>
      <c r="I411">
        <f t="shared" si="67"/>
        <v>0</v>
      </c>
      <c r="J411">
        <v>1</v>
      </c>
      <c r="K411">
        <f t="shared" si="68"/>
        <v>31.86</v>
      </c>
      <c r="L411" t="s">
        <v>418</v>
      </c>
      <c r="N411">
        <f t="shared" si="78"/>
        <v>1412.7182783999999</v>
      </c>
      <c r="O411">
        <f t="shared" si="69"/>
        <v>0.11960603431304655</v>
      </c>
      <c r="P411" t="s">
        <v>39</v>
      </c>
      <c r="Q411">
        <f t="shared" si="70"/>
        <v>2.1657250470809792</v>
      </c>
      <c r="R411">
        <f t="shared" si="71"/>
        <v>69</v>
      </c>
      <c r="S411">
        <f t="shared" si="72"/>
        <v>69</v>
      </c>
      <c r="T411">
        <v>69</v>
      </c>
      <c r="U411">
        <f t="shared" si="73"/>
        <v>0</v>
      </c>
      <c r="V411">
        <v>0.67</v>
      </c>
      <c r="W411">
        <v>34.71</v>
      </c>
      <c r="X411">
        <f t="shared" si="74"/>
        <v>1604.6433000000002</v>
      </c>
      <c r="Y411">
        <f t="shared" si="75"/>
        <v>1604.6433000000002</v>
      </c>
      <c r="Z411">
        <f t="shared" si="76"/>
        <v>0</v>
      </c>
      <c r="AB411" t="s">
        <v>419</v>
      </c>
      <c r="AE411" t="s">
        <v>420</v>
      </c>
    </row>
    <row r="412" spans="4:31" x14ac:dyDescent="0.25">
      <c r="D412" t="s">
        <v>542</v>
      </c>
      <c r="E412" t="s">
        <v>417</v>
      </c>
      <c r="F412">
        <v>34.880000000000003</v>
      </c>
      <c r="G412">
        <v>34.880000000000003</v>
      </c>
      <c r="H412">
        <v>1</v>
      </c>
      <c r="I412">
        <f t="shared" si="67"/>
        <v>0</v>
      </c>
      <c r="J412">
        <v>1</v>
      </c>
      <c r="K412">
        <f t="shared" si="68"/>
        <v>34.880000000000003</v>
      </c>
      <c r="L412" t="s">
        <v>418</v>
      </c>
      <c r="N412">
        <f t="shared" si="78"/>
        <v>1546.6294272</v>
      </c>
      <c r="O412">
        <f t="shared" si="69"/>
        <v>7.6314010471984758E-2</v>
      </c>
      <c r="P412" t="s">
        <v>39</v>
      </c>
      <c r="Q412">
        <f t="shared" si="70"/>
        <v>2.0642201834862384</v>
      </c>
      <c r="R412">
        <f t="shared" si="71"/>
        <v>72</v>
      </c>
      <c r="S412">
        <f t="shared" si="72"/>
        <v>72</v>
      </c>
      <c r="T412">
        <v>72</v>
      </c>
      <c r="U412">
        <f t="shared" si="73"/>
        <v>0</v>
      </c>
      <c r="V412">
        <v>0.67</v>
      </c>
      <c r="W412">
        <v>34.71</v>
      </c>
      <c r="X412">
        <f t="shared" si="74"/>
        <v>1674.4104000000002</v>
      </c>
      <c r="Y412">
        <f t="shared" si="75"/>
        <v>1674.4104</v>
      </c>
      <c r="Z412">
        <f t="shared" si="76"/>
        <v>-1.357932771100992E-16</v>
      </c>
      <c r="AB412" t="s">
        <v>419</v>
      </c>
      <c r="AE412" t="s">
        <v>420</v>
      </c>
    </row>
    <row r="413" spans="4:31" x14ac:dyDescent="0.25">
      <c r="D413" t="s">
        <v>543</v>
      </c>
      <c r="E413" t="s">
        <v>417</v>
      </c>
      <c r="F413">
        <v>40.619999999999997</v>
      </c>
      <c r="G413">
        <v>40.619999999999997</v>
      </c>
      <c r="H413">
        <v>1</v>
      </c>
      <c r="I413">
        <f t="shared" ref="I413:I461" si="79">(G413-F413)/F413</f>
        <v>0</v>
      </c>
      <c r="J413">
        <v>1</v>
      </c>
      <c r="K413">
        <f t="shared" ref="K413:K461" si="80">F413*H413*J413</f>
        <v>40.619999999999997</v>
      </c>
      <c r="L413" t="s">
        <v>418</v>
      </c>
      <c r="N413">
        <f t="shared" si="78"/>
        <v>1801.1492927999998</v>
      </c>
      <c r="O413">
        <f t="shared" ref="O413:O461" si="81">(X413-N413)/X413</f>
        <v>9.9420940762609933E-2</v>
      </c>
      <c r="P413" t="s">
        <v>39</v>
      </c>
      <c r="Q413">
        <f t="shared" ref="Q413:Q461" si="82">T413/F413</f>
        <v>2.1171836533727229</v>
      </c>
      <c r="R413">
        <f t="shared" ref="R413:R461" si="83">F413*Q413</f>
        <v>86</v>
      </c>
      <c r="S413">
        <f t="shared" ref="S413:S461" si="84">G413*Q413</f>
        <v>86</v>
      </c>
      <c r="T413">
        <v>86</v>
      </c>
      <c r="U413">
        <f t="shared" ref="U413:U461" si="85">(T413-R413)/R413</f>
        <v>0</v>
      </c>
      <c r="V413">
        <v>0.67</v>
      </c>
      <c r="W413">
        <v>34.71</v>
      </c>
      <c r="X413">
        <f t="shared" ref="X413:X461" si="86">R413*V413*W413</f>
        <v>1999.9902000000002</v>
      </c>
      <c r="Y413">
        <f t="shared" ref="Y413:Y461" si="87">S413*W413*V413</f>
        <v>1999.9902000000002</v>
      </c>
      <c r="Z413">
        <f t="shared" ref="Z413:Z461" si="88">(Y413-X413)/X413</f>
        <v>0</v>
      </c>
      <c r="AB413" t="s">
        <v>419</v>
      </c>
      <c r="AE413" t="s">
        <v>420</v>
      </c>
    </row>
    <row r="414" spans="4:31" x14ac:dyDescent="0.25">
      <c r="D414" t="s">
        <v>544</v>
      </c>
      <c r="E414" t="s">
        <v>417</v>
      </c>
      <c r="F414">
        <v>45.86</v>
      </c>
      <c r="G414">
        <v>45.86</v>
      </c>
      <c r="H414">
        <v>1</v>
      </c>
      <c r="I414">
        <f t="shared" si="79"/>
        <v>0</v>
      </c>
      <c r="J414">
        <v>1</v>
      </c>
      <c r="K414">
        <f t="shared" si="80"/>
        <v>45.86</v>
      </c>
      <c r="L414" t="s">
        <v>418</v>
      </c>
      <c r="N414">
        <f t="shared" si="78"/>
        <v>2033.4984383999999</v>
      </c>
      <c r="O414">
        <f t="shared" si="81"/>
        <v>0.25897575159813208</v>
      </c>
      <c r="P414" t="s">
        <v>39</v>
      </c>
      <c r="Q414">
        <f t="shared" si="82"/>
        <v>2.5730484081988663</v>
      </c>
      <c r="R414">
        <f t="shared" si="83"/>
        <v>118</v>
      </c>
      <c r="S414">
        <f t="shared" si="84"/>
        <v>118</v>
      </c>
      <c r="T414">
        <v>118</v>
      </c>
      <c r="U414">
        <f t="shared" si="85"/>
        <v>0</v>
      </c>
      <c r="V414">
        <v>0.67</v>
      </c>
      <c r="W414">
        <v>34.71</v>
      </c>
      <c r="X414">
        <f t="shared" si="86"/>
        <v>2744.1726000000003</v>
      </c>
      <c r="Y414">
        <f t="shared" si="87"/>
        <v>2744.1726000000003</v>
      </c>
      <c r="Z414">
        <f t="shared" si="88"/>
        <v>0</v>
      </c>
      <c r="AB414" t="s">
        <v>419</v>
      </c>
      <c r="AE414" t="s">
        <v>420</v>
      </c>
    </row>
    <row r="415" spans="4:31" x14ac:dyDescent="0.25">
      <c r="D415" t="s">
        <v>545</v>
      </c>
      <c r="E415" t="s">
        <v>417</v>
      </c>
      <c r="F415">
        <v>49.64</v>
      </c>
      <c r="G415">
        <v>49.64</v>
      </c>
      <c r="H415">
        <v>1</v>
      </c>
      <c r="I415">
        <f t="shared" si="79"/>
        <v>0</v>
      </c>
      <c r="J415">
        <v>1</v>
      </c>
      <c r="K415">
        <f t="shared" si="80"/>
        <v>49.64</v>
      </c>
      <c r="L415" t="s">
        <v>418</v>
      </c>
      <c r="N415">
        <f t="shared" si="78"/>
        <v>2201.1090816000001</v>
      </c>
      <c r="O415">
        <f t="shared" si="81"/>
        <v>0.22419545668232801</v>
      </c>
      <c r="P415" t="s">
        <v>39</v>
      </c>
      <c r="Q415">
        <f t="shared" si="82"/>
        <v>2.4576954069298953</v>
      </c>
      <c r="R415">
        <f t="shared" si="83"/>
        <v>122</v>
      </c>
      <c r="S415">
        <f t="shared" si="84"/>
        <v>122</v>
      </c>
      <c r="T415">
        <v>122</v>
      </c>
      <c r="U415">
        <f t="shared" si="85"/>
        <v>0</v>
      </c>
      <c r="V415">
        <v>0.67</v>
      </c>
      <c r="W415">
        <v>34.71</v>
      </c>
      <c r="X415">
        <f t="shared" si="86"/>
        <v>2837.1954000000005</v>
      </c>
      <c r="Y415">
        <f t="shared" si="87"/>
        <v>2837.1954000000001</v>
      </c>
      <c r="Z415">
        <f t="shared" si="88"/>
        <v>-1.6028058937585479E-16</v>
      </c>
      <c r="AB415" t="s">
        <v>419</v>
      </c>
      <c r="AE415" t="s">
        <v>420</v>
      </c>
    </row>
    <row r="416" spans="4:31" x14ac:dyDescent="0.25">
      <c r="D416" t="s">
        <v>546</v>
      </c>
      <c r="E416" t="s">
        <v>417</v>
      </c>
      <c r="F416">
        <v>68.19</v>
      </c>
      <c r="G416">
        <v>68.19</v>
      </c>
      <c r="H416">
        <v>1</v>
      </c>
      <c r="I416">
        <f t="shared" si="79"/>
        <v>0</v>
      </c>
      <c r="J416">
        <v>1</v>
      </c>
      <c r="K416">
        <f t="shared" si="80"/>
        <v>68.19</v>
      </c>
      <c r="L416" t="s">
        <v>418</v>
      </c>
      <c r="N416">
        <f t="shared" si="78"/>
        <v>3023.6427935999995</v>
      </c>
      <c r="O416">
        <f t="shared" si="81"/>
        <v>0.2072117243325714</v>
      </c>
      <c r="P416" t="s">
        <v>39</v>
      </c>
      <c r="Q416">
        <f t="shared" si="82"/>
        <v>2.4050447279659775</v>
      </c>
      <c r="R416">
        <f t="shared" si="83"/>
        <v>164</v>
      </c>
      <c r="S416">
        <f t="shared" si="84"/>
        <v>164</v>
      </c>
      <c r="T416">
        <v>164</v>
      </c>
      <c r="U416">
        <f t="shared" si="85"/>
        <v>0</v>
      </c>
      <c r="V416">
        <v>0.67</v>
      </c>
      <c r="W416">
        <v>34.71</v>
      </c>
      <c r="X416">
        <f t="shared" si="86"/>
        <v>3813.9348000000005</v>
      </c>
      <c r="Y416">
        <f t="shared" si="87"/>
        <v>3813.9348000000005</v>
      </c>
      <c r="Z416">
        <f t="shared" si="88"/>
        <v>0</v>
      </c>
      <c r="AB416" t="s">
        <v>419</v>
      </c>
      <c r="AE416" t="s">
        <v>420</v>
      </c>
    </row>
    <row r="417" spans="4:31" x14ac:dyDescent="0.25">
      <c r="D417" t="s">
        <v>547</v>
      </c>
      <c r="E417" t="s">
        <v>417</v>
      </c>
      <c r="F417">
        <v>71.67</v>
      </c>
      <c r="G417">
        <v>71.67</v>
      </c>
      <c r="H417">
        <v>1</v>
      </c>
      <c r="I417">
        <f t="shared" si="79"/>
        <v>0</v>
      </c>
      <c r="J417">
        <v>1</v>
      </c>
      <c r="K417">
        <f t="shared" si="80"/>
        <v>71.67</v>
      </c>
      <c r="L417" t="s">
        <v>418</v>
      </c>
      <c r="N417">
        <f t="shared" si="78"/>
        <v>3177.9510047999997</v>
      </c>
      <c r="O417">
        <f t="shared" si="81"/>
        <v>0.20550835579094351</v>
      </c>
      <c r="P417" t="s">
        <v>39</v>
      </c>
      <c r="Q417">
        <f t="shared" si="82"/>
        <v>2.3998883772847774</v>
      </c>
      <c r="R417">
        <f t="shared" si="83"/>
        <v>172</v>
      </c>
      <c r="S417">
        <f t="shared" si="84"/>
        <v>172</v>
      </c>
      <c r="T417">
        <v>172</v>
      </c>
      <c r="U417">
        <f t="shared" si="85"/>
        <v>0</v>
      </c>
      <c r="V417">
        <v>0.67</v>
      </c>
      <c r="W417">
        <v>34.71</v>
      </c>
      <c r="X417">
        <f t="shared" si="86"/>
        <v>3999.9804000000004</v>
      </c>
      <c r="Y417">
        <f t="shared" si="87"/>
        <v>3999.9804000000004</v>
      </c>
      <c r="Z417">
        <f t="shared" si="88"/>
        <v>0</v>
      </c>
      <c r="AB417" t="s">
        <v>419</v>
      </c>
      <c r="AE417" t="s">
        <v>420</v>
      </c>
    </row>
    <row r="418" spans="4:31" x14ac:dyDescent="0.25">
      <c r="D418" t="s">
        <v>548</v>
      </c>
      <c r="E418" t="s">
        <v>417</v>
      </c>
      <c r="F418">
        <v>81.430000000000007</v>
      </c>
      <c r="G418">
        <v>81.430000000000007</v>
      </c>
      <c r="H418">
        <v>1</v>
      </c>
      <c r="I418">
        <f t="shared" si="79"/>
        <v>0</v>
      </c>
      <c r="J418">
        <v>1</v>
      </c>
      <c r="K418">
        <f t="shared" si="80"/>
        <v>81.430000000000007</v>
      </c>
      <c r="L418" t="s">
        <v>418</v>
      </c>
      <c r="N418">
        <f t="shared" ref="N418:N446" si="89">K418*$N$3*$O$3</f>
        <v>3610.7234592</v>
      </c>
      <c r="O418">
        <f t="shared" si="81"/>
        <v>0.2037852844678939</v>
      </c>
      <c r="P418" t="s">
        <v>39</v>
      </c>
      <c r="Q418">
        <f t="shared" si="82"/>
        <v>2.3946948299152644</v>
      </c>
      <c r="R418">
        <f t="shared" si="83"/>
        <v>195</v>
      </c>
      <c r="S418">
        <f t="shared" si="84"/>
        <v>195</v>
      </c>
      <c r="T418">
        <v>195</v>
      </c>
      <c r="U418">
        <f t="shared" si="85"/>
        <v>0</v>
      </c>
      <c r="V418">
        <v>0.67</v>
      </c>
      <c r="W418">
        <v>34.71</v>
      </c>
      <c r="X418">
        <f t="shared" si="86"/>
        <v>4534.8615</v>
      </c>
      <c r="Y418">
        <f t="shared" si="87"/>
        <v>4534.8615</v>
      </c>
      <c r="Z418">
        <f t="shared" si="88"/>
        <v>0</v>
      </c>
      <c r="AB418" t="s">
        <v>419</v>
      </c>
      <c r="AE418" t="s">
        <v>420</v>
      </c>
    </row>
    <row r="419" spans="4:31" x14ac:dyDescent="0.25">
      <c r="D419" t="s">
        <v>549</v>
      </c>
      <c r="E419" t="s">
        <v>417</v>
      </c>
      <c r="F419">
        <v>85.55</v>
      </c>
      <c r="G419">
        <v>85.55</v>
      </c>
      <c r="H419">
        <v>1</v>
      </c>
      <c r="I419">
        <f t="shared" si="79"/>
        <v>0</v>
      </c>
      <c r="J419">
        <v>1</v>
      </c>
      <c r="K419">
        <f t="shared" si="80"/>
        <v>85.55</v>
      </c>
      <c r="L419" t="s">
        <v>418</v>
      </c>
      <c r="N419">
        <f t="shared" si="89"/>
        <v>3793.4101919999994</v>
      </c>
      <c r="O419">
        <f t="shared" si="81"/>
        <v>0.20430518277344448</v>
      </c>
      <c r="P419" t="s">
        <v>39</v>
      </c>
      <c r="Q419">
        <f t="shared" si="82"/>
        <v>2.3962594973699591</v>
      </c>
      <c r="R419">
        <f t="shared" si="83"/>
        <v>205</v>
      </c>
      <c r="S419">
        <f t="shared" si="84"/>
        <v>205</v>
      </c>
      <c r="T419">
        <v>205</v>
      </c>
      <c r="U419">
        <f t="shared" si="85"/>
        <v>0</v>
      </c>
      <c r="V419">
        <v>0.67</v>
      </c>
      <c r="W419">
        <v>34.71</v>
      </c>
      <c r="X419">
        <f t="shared" si="86"/>
        <v>4767.4184999999998</v>
      </c>
      <c r="Y419">
        <f t="shared" si="87"/>
        <v>4767.4185000000007</v>
      </c>
      <c r="Z419">
        <f t="shared" si="88"/>
        <v>1.9077299418394427E-16</v>
      </c>
      <c r="AB419" t="s">
        <v>419</v>
      </c>
      <c r="AE419" t="s">
        <v>420</v>
      </c>
    </row>
    <row r="420" spans="4:31" x14ac:dyDescent="0.25">
      <c r="D420" t="s">
        <v>550</v>
      </c>
      <c r="E420" t="s">
        <v>417</v>
      </c>
      <c r="F420">
        <v>6.93</v>
      </c>
      <c r="G420">
        <v>6.93</v>
      </c>
      <c r="H420">
        <v>1</v>
      </c>
      <c r="I420">
        <f t="shared" si="79"/>
        <v>0</v>
      </c>
      <c r="J420">
        <v>1</v>
      </c>
      <c r="K420">
        <f t="shared" si="80"/>
        <v>6.93</v>
      </c>
      <c r="L420" t="s">
        <v>418</v>
      </c>
      <c r="N420">
        <f t="shared" si="89"/>
        <v>307.28617919999994</v>
      </c>
      <c r="O420">
        <f t="shared" si="81"/>
        <v>0.399392252222036</v>
      </c>
      <c r="P420" t="s">
        <v>39</v>
      </c>
      <c r="Q420">
        <f t="shared" si="82"/>
        <v>3.1746031746031749</v>
      </c>
      <c r="R420">
        <f t="shared" si="83"/>
        <v>22</v>
      </c>
      <c r="S420">
        <f t="shared" si="84"/>
        <v>22</v>
      </c>
      <c r="T420">
        <v>22</v>
      </c>
      <c r="U420">
        <f t="shared" si="85"/>
        <v>0</v>
      </c>
      <c r="V420">
        <v>0.67</v>
      </c>
      <c r="W420">
        <v>34.71</v>
      </c>
      <c r="X420">
        <f t="shared" si="86"/>
        <v>511.62540000000001</v>
      </c>
      <c r="Y420">
        <f t="shared" si="87"/>
        <v>511.62540000000001</v>
      </c>
      <c r="Z420">
        <f t="shared" si="88"/>
        <v>0</v>
      </c>
      <c r="AB420" t="s">
        <v>419</v>
      </c>
      <c r="AE420" t="s">
        <v>420</v>
      </c>
    </row>
    <row r="421" spans="4:31" x14ac:dyDescent="0.25">
      <c r="D421" t="s">
        <v>551</v>
      </c>
      <c r="E421" t="s">
        <v>417</v>
      </c>
      <c r="F421">
        <v>6.96</v>
      </c>
      <c r="G421">
        <v>6.96</v>
      </c>
      <c r="H421">
        <v>1</v>
      </c>
      <c r="I421">
        <f t="shared" si="79"/>
        <v>0</v>
      </c>
      <c r="J421">
        <v>1</v>
      </c>
      <c r="K421">
        <f t="shared" si="80"/>
        <v>6.96</v>
      </c>
      <c r="L421" t="s">
        <v>418</v>
      </c>
      <c r="N421">
        <f t="shared" si="89"/>
        <v>308.61642239999998</v>
      </c>
      <c r="O421">
        <f t="shared" si="81"/>
        <v>0.39679221868187159</v>
      </c>
      <c r="P421" t="s">
        <v>39</v>
      </c>
      <c r="Q421">
        <f t="shared" si="82"/>
        <v>3.1609195402298851</v>
      </c>
      <c r="R421">
        <f t="shared" si="83"/>
        <v>22</v>
      </c>
      <c r="S421">
        <f t="shared" si="84"/>
        <v>22</v>
      </c>
      <c r="T421">
        <v>22</v>
      </c>
      <c r="U421">
        <f t="shared" si="85"/>
        <v>0</v>
      </c>
      <c r="V421">
        <v>0.67</v>
      </c>
      <c r="W421">
        <v>34.71</v>
      </c>
      <c r="X421">
        <f t="shared" si="86"/>
        <v>511.62540000000001</v>
      </c>
      <c r="Y421">
        <f t="shared" si="87"/>
        <v>511.62540000000001</v>
      </c>
      <c r="Z421">
        <f t="shared" si="88"/>
        <v>0</v>
      </c>
      <c r="AB421" t="s">
        <v>419</v>
      </c>
      <c r="AE421" t="s">
        <v>420</v>
      </c>
    </row>
    <row r="422" spans="4:31" x14ac:dyDescent="0.25">
      <c r="D422" t="s">
        <v>552</v>
      </c>
      <c r="E422" t="s">
        <v>417</v>
      </c>
      <c r="F422">
        <v>6.76</v>
      </c>
      <c r="G422">
        <v>6.76</v>
      </c>
      <c r="H422">
        <v>1</v>
      </c>
      <c r="I422">
        <f t="shared" si="79"/>
        <v>0</v>
      </c>
      <c r="J422">
        <v>1</v>
      </c>
      <c r="K422">
        <f t="shared" si="80"/>
        <v>6.76</v>
      </c>
      <c r="L422" t="s">
        <v>418</v>
      </c>
      <c r="N422">
        <f t="shared" si="89"/>
        <v>299.74813439999997</v>
      </c>
      <c r="O422">
        <f t="shared" si="81"/>
        <v>0.4141257756163006</v>
      </c>
      <c r="P422" t="s">
        <v>39</v>
      </c>
      <c r="Q422">
        <f t="shared" si="82"/>
        <v>3.2544378698224854</v>
      </c>
      <c r="R422">
        <f t="shared" si="83"/>
        <v>22</v>
      </c>
      <c r="S422">
        <f t="shared" si="84"/>
        <v>22</v>
      </c>
      <c r="T422">
        <v>22</v>
      </c>
      <c r="U422">
        <f t="shared" si="85"/>
        <v>0</v>
      </c>
      <c r="V422">
        <v>0.67</v>
      </c>
      <c r="W422">
        <v>34.71</v>
      </c>
      <c r="X422">
        <f t="shared" si="86"/>
        <v>511.62540000000001</v>
      </c>
      <c r="Y422">
        <f t="shared" si="87"/>
        <v>511.62540000000001</v>
      </c>
      <c r="Z422">
        <f t="shared" si="88"/>
        <v>0</v>
      </c>
      <c r="AB422" t="s">
        <v>419</v>
      </c>
      <c r="AE422" t="s">
        <v>420</v>
      </c>
    </row>
    <row r="423" spans="4:31" x14ac:dyDescent="0.25">
      <c r="D423" t="s">
        <v>553</v>
      </c>
      <c r="E423" t="s">
        <v>417</v>
      </c>
      <c r="F423">
        <v>7.41</v>
      </c>
      <c r="G423">
        <v>7.41</v>
      </c>
      <c r="H423">
        <v>1</v>
      </c>
      <c r="I423">
        <f t="shared" si="79"/>
        <v>0</v>
      </c>
      <c r="J423">
        <v>1</v>
      </c>
      <c r="K423">
        <f t="shared" si="80"/>
        <v>7.41</v>
      </c>
      <c r="L423" t="s">
        <v>418</v>
      </c>
      <c r="N423">
        <f t="shared" si="89"/>
        <v>328.57007039999996</v>
      </c>
      <c r="O423">
        <f t="shared" si="81"/>
        <v>0.35779171557940642</v>
      </c>
      <c r="P423" t="s">
        <v>39</v>
      </c>
      <c r="Q423">
        <f t="shared" si="82"/>
        <v>2.9689608636977058</v>
      </c>
      <c r="R423">
        <f t="shared" si="83"/>
        <v>22</v>
      </c>
      <c r="S423">
        <f t="shared" si="84"/>
        <v>22</v>
      </c>
      <c r="T423">
        <v>22</v>
      </c>
      <c r="U423">
        <f t="shared" si="85"/>
        <v>0</v>
      </c>
      <c r="V423">
        <v>0.67</v>
      </c>
      <c r="W423">
        <v>34.71</v>
      </c>
      <c r="X423">
        <f t="shared" si="86"/>
        <v>511.62540000000001</v>
      </c>
      <c r="Y423">
        <f t="shared" si="87"/>
        <v>511.62540000000001</v>
      </c>
      <c r="Z423">
        <f t="shared" si="88"/>
        <v>0</v>
      </c>
      <c r="AB423" t="s">
        <v>419</v>
      </c>
      <c r="AE423" t="s">
        <v>420</v>
      </c>
    </row>
    <row r="424" spans="4:31" x14ac:dyDescent="0.25">
      <c r="D424" t="s">
        <v>554</v>
      </c>
      <c r="E424" t="s">
        <v>417</v>
      </c>
      <c r="F424">
        <v>7.25</v>
      </c>
      <c r="G424">
        <v>7.25</v>
      </c>
      <c r="H424">
        <v>1</v>
      </c>
      <c r="I424">
        <f t="shared" si="79"/>
        <v>0</v>
      </c>
      <c r="J424">
        <v>1</v>
      </c>
      <c r="K424">
        <f t="shared" si="80"/>
        <v>7.25</v>
      </c>
      <c r="L424" t="s">
        <v>418</v>
      </c>
      <c r="N424">
        <f t="shared" si="89"/>
        <v>321.47543999999999</v>
      </c>
      <c r="O424">
        <f t="shared" si="81"/>
        <v>0.37165856112694956</v>
      </c>
      <c r="P424" t="s">
        <v>39</v>
      </c>
      <c r="Q424">
        <f t="shared" si="82"/>
        <v>3.0344827586206895</v>
      </c>
      <c r="R424">
        <f t="shared" si="83"/>
        <v>22</v>
      </c>
      <c r="S424">
        <f t="shared" si="84"/>
        <v>22</v>
      </c>
      <c r="T424">
        <v>22</v>
      </c>
      <c r="U424">
        <f t="shared" si="85"/>
        <v>0</v>
      </c>
      <c r="V424">
        <v>0.67</v>
      </c>
      <c r="W424">
        <v>34.71</v>
      </c>
      <c r="X424">
        <f t="shared" si="86"/>
        <v>511.62540000000001</v>
      </c>
      <c r="Y424">
        <f t="shared" si="87"/>
        <v>511.62540000000001</v>
      </c>
      <c r="Z424">
        <f t="shared" si="88"/>
        <v>0</v>
      </c>
      <c r="AB424" t="s">
        <v>419</v>
      </c>
      <c r="AE424" t="s">
        <v>420</v>
      </c>
    </row>
    <row r="425" spans="4:31" x14ac:dyDescent="0.25">
      <c r="D425" t="s">
        <v>555</v>
      </c>
      <c r="E425" t="s">
        <v>417</v>
      </c>
      <c r="F425">
        <v>7.63</v>
      </c>
      <c r="G425">
        <v>7.63</v>
      </c>
      <c r="H425">
        <v>1</v>
      </c>
      <c r="I425">
        <f t="shared" si="79"/>
        <v>0</v>
      </c>
      <c r="J425">
        <v>1</v>
      </c>
      <c r="K425">
        <f t="shared" si="80"/>
        <v>7.63</v>
      </c>
      <c r="L425" t="s">
        <v>418</v>
      </c>
      <c r="N425">
        <f t="shared" si="89"/>
        <v>338.32518720000002</v>
      </c>
      <c r="O425">
        <f t="shared" si="81"/>
        <v>0.36747589847538081</v>
      </c>
      <c r="P425" t="s">
        <v>39</v>
      </c>
      <c r="Q425">
        <f t="shared" si="82"/>
        <v>3.0144167758846661</v>
      </c>
      <c r="R425">
        <f t="shared" si="83"/>
        <v>23</v>
      </c>
      <c r="S425">
        <f t="shared" si="84"/>
        <v>23</v>
      </c>
      <c r="T425">
        <v>23</v>
      </c>
      <c r="U425">
        <f t="shared" si="85"/>
        <v>0</v>
      </c>
      <c r="V425">
        <v>0.67</v>
      </c>
      <c r="W425">
        <v>34.71</v>
      </c>
      <c r="X425">
        <f t="shared" si="86"/>
        <v>534.88110000000006</v>
      </c>
      <c r="Y425">
        <f t="shared" si="87"/>
        <v>534.88110000000006</v>
      </c>
      <c r="Z425">
        <f t="shared" si="88"/>
        <v>0</v>
      </c>
      <c r="AB425" t="s">
        <v>419</v>
      </c>
      <c r="AE425" t="s">
        <v>420</v>
      </c>
    </row>
    <row r="426" spans="4:31" x14ac:dyDescent="0.25">
      <c r="D426" t="s">
        <v>556</v>
      </c>
      <c r="E426" t="s">
        <v>417</v>
      </c>
      <c r="F426">
        <v>7.81</v>
      </c>
      <c r="G426">
        <v>7.81</v>
      </c>
      <c r="H426">
        <v>1</v>
      </c>
      <c r="I426">
        <f t="shared" si="79"/>
        <v>0</v>
      </c>
      <c r="J426">
        <v>1</v>
      </c>
      <c r="K426">
        <f t="shared" si="80"/>
        <v>7.81</v>
      </c>
      <c r="L426" t="s">
        <v>418</v>
      </c>
      <c r="N426">
        <f t="shared" si="89"/>
        <v>346.30664639999992</v>
      </c>
      <c r="O426">
        <f t="shared" si="81"/>
        <v>0.35255396685356821</v>
      </c>
      <c r="P426" t="s">
        <v>39</v>
      </c>
      <c r="Q426">
        <f t="shared" si="82"/>
        <v>2.9449423815620999</v>
      </c>
      <c r="R426">
        <f t="shared" si="83"/>
        <v>23</v>
      </c>
      <c r="S426">
        <f t="shared" si="84"/>
        <v>23</v>
      </c>
      <c r="T426">
        <v>23</v>
      </c>
      <c r="U426">
        <f t="shared" si="85"/>
        <v>0</v>
      </c>
      <c r="V426">
        <v>0.67</v>
      </c>
      <c r="W426">
        <v>34.71</v>
      </c>
      <c r="X426">
        <f t="shared" si="86"/>
        <v>534.88110000000006</v>
      </c>
      <c r="Y426">
        <f t="shared" si="87"/>
        <v>534.88110000000006</v>
      </c>
      <c r="Z426">
        <f t="shared" si="88"/>
        <v>0</v>
      </c>
      <c r="AB426" t="s">
        <v>419</v>
      </c>
      <c r="AE426" t="s">
        <v>420</v>
      </c>
    </row>
    <row r="427" spans="4:31" x14ac:dyDescent="0.25">
      <c r="D427" t="s">
        <v>557</v>
      </c>
      <c r="E427" t="s">
        <v>417</v>
      </c>
      <c r="F427">
        <v>9.06</v>
      </c>
      <c r="G427">
        <v>9.06</v>
      </c>
      <c r="H427">
        <v>1</v>
      </c>
      <c r="I427">
        <f t="shared" si="79"/>
        <v>0</v>
      </c>
      <c r="J427">
        <v>1</v>
      </c>
      <c r="K427">
        <f t="shared" si="80"/>
        <v>9.06</v>
      </c>
      <c r="L427" t="s">
        <v>418</v>
      </c>
      <c r="N427">
        <f t="shared" si="89"/>
        <v>401.73344639999993</v>
      </c>
      <c r="O427">
        <f t="shared" si="81"/>
        <v>0.24892944170209047</v>
      </c>
      <c r="P427" t="s">
        <v>39</v>
      </c>
      <c r="Q427">
        <f t="shared" si="82"/>
        <v>2.5386313465783661</v>
      </c>
      <c r="R427">
        <f t="shared" si="83"/>
        <v>22.999999999999996</v>
      </c>
      <c r="S427">
        <f t="shared" si="84"/>
        <v>22.999999999999996</v>
      </c>
      <c r="T427">
        <v>23</v>
      </c>
      <c r="U427">
        <f t="shared" si="85"/>
        <v>1.5446581212176093E-16</v>
      </c>
      <c r="V427">
        <v>0.67</v>
      </c>
      <c r="W427">
        <v>34.71</v>
      </c>
      <c r="X427">
        <f t="shared" si="86"/>
        <v>534.88109999999995</v>
      </c>
      <c r="Y427">
        <f t="shared" si="87"/>
        <v>534.88109999999995</v>
      </c>
      <c r="Z427">
        <f t="shared" si="88"/>
        <v>0</v>
      </c>
      <c r="AB427" t="s">
        <v>419</v>
      </c>
      <c r="AE427" t="s">
        <v>420</v>
      </c>
    </row>
    <row r="428" spans="4:31" x14ac:dyDescent="0.25">
      <c r="D428" t="s">
        <v>558</v>
      </c>
      <c r="E428" t="s">
        <v>417</v>
      </c>
      <c r="F428">
        <v>8.6</v>
      </c>
      <c r="G428">
        <v>8.6</v>
      </c>
      <c r="H428">
        <v>1</v>
      </c>
      <c r="I428">
        <f t="shared" si="79"/>
        <v>0</v>
      </c>
      <c r="J428">
        <v>1</v>
      </c>
      <c r="K428">
        <f t="shared" si="80"/>
        <v>8.6</v>
      </c>
      <c r="L428" t="s">
        <v>418</v>
      </c>
      <c r="N428">
        <f t="shared" si="89"/>
        <v>381.33638399999995</v>
      </c>
      <c r="O428">
        <f t="shared" si="81"/>
        <v>0.28706326695783435</v>
      </c>
      <c r="P428" t="s">
        <v>39</v>
      </c>
      <c r="Q428">
        <f t="shared" si="82"/>
        <v>2.6744186046511631</v>
      </c>
      <c r="R428">
        <f t="shared" si="83"/>
        <v>23</v>
      </c>
      <c r="S428">
        <f t="shared" si="84"/>
        <v>23</v>
      </c>
      <c r="T428">
        <v>23</v>
      </c>
      <c r="U428">
        <f t="shared" si="85"/>
        <v>0</v>
      </c>
      <c r="V428">
        <v>0.67</v>
      </c>
      <c r="W428">
        <v>34.71</v>
      </c>
      <c r="X428">
        <f t="shared" si="86"/>
        <v>534.88110000000006</v>
      </c>
      <c r="Y428">
        <f t="shared" si="87"/>
        <v>534.88110000000006</v>
      </c>
      <c r="Z428">
        <f t="shared" si="88"/>
        <v>0</v>
      </c>
      <c r="AB428" t="s">
        <v>419</v>
      </c>
      <c r="AE428" t="s">
        <v>420</v>
      </c>
    </row>
    <row r="429" spans="4:31" x14ac:dyDescent="0.25">
      <c r="D429" t="s">
        <v>559</v>
      </c>
      <c r="E429" t="s">
        <v>417</v>
      </c>
      <c r="F429">
        <v>9.58</v>
      </c>
      <c r="G429">
        <v>9.58</v>
      </c>
      <c r="H429">
        <v>1</v>
      </c>
      <c r="I429">
        <f t="shared" si="79"/>
        <v>0</v>
      </c>
      <c r="J429">
        <v>1</v>
      </c>
      <c r="K429">
        <f t="shared" si="80"/>
        <v>9.58</v>
      </c>
      <c r="L429" t="s">
        <v>418</v>
      </c>
      <c r="N429">
        <f t="shared" si="89"/>
        <v>424.7909952</v>
      </c>
      <c r="O429">
        <f t="shared" si="81"/>
        <v>0.20582163923907584</v>
      </c>
      <c r="P429" t="s">
        <v>39</v>
      </c>
      <c r="Q429">
        <f t="shared" si="82"/>
        <v>2.4008350730688934</v>
      </c>
      <c r="R429">
        <f t="shared" si="83"/>
        <v>23</v>
      </c>
      <c r="S429">
        <f t="shared" si="84"/>
        <v>23</v>
      </c>
      <c r="T429">
        <v>23</v>
      </c>
      <c r="U429">
        <f t="shared" si="85"/>
        <v>0</v>
      </c>
      <c r="V429">
        <v>0.67</v>
      </c>
      <c r="W429">
        <v>34.71</v>
      </c>
      <c r="X429">
        <f t="shared" si="86"/>
        <v>534.88110000000006</v>
      </c>
      <c r="Y429">
        <f t="shared" si="87"/>
        <v>534.88110000000006</v>
      </c>
      <c r="Z429">
        <f t="shared" si="88"/>
        <v>0</v>
      </c>
      <c r="AB429" t="s">
        <v>419</v>
      </c>
      <c r="AE429" t="s">
        <v>420</v>
      </c>
    </row>
    <row r="430" spans="4:31" x14ac:dyDescent="0.25">
      <c r="D430" t="s">
        <v>560</v>
      </c>
      <c r="E430" t="s">
        <v>417</v>
      </c>
      <c r="F430">
        <v>9.19</v>
      </c>
      <c r="G430">
        <v>9.19</v>
      </c>
      <c r="H430">
        <v>1</v>
      </c>
      <c r="I430">
        <f t="shared" si="79"/>
        <v>0</v>
      </c>
      <c r="J430">
        <v>1</v>
      </c>
      <c r="K430">
        <f t="shared" si="80"/>
        <v>9.19</v>
      </c>
      <c r="L430" t="s">
        <v>418</v>
      </c>
      <c r="N430">
        <f t="shared" si="89"/>
        <v>407.49783359999998</v>
      </c>
      <c r="O430">
        <f t="shared" si="81"/>
        <v>0.32605797288406713</v>
      </c>
      <c r="P430" t="s">
        <v>39</v>
      </c>
      <c r="Q430">
        <f t="shared" si="82"/>
        <v>2.8291621327529923</v>
      </c>
      <c r="R430">
        <f t="shared" si="83"/>
        <v>25.999999999999996</v>
      </c>
      <c r="S430">
        <f t="shared" si="84"/>
        <v>25.999999999999996</v>
      </c>
      <c r="T430">
        <v>26</v>
      </c>
      <c r="U430">
        <f t="shared" si="85"/>
        <v>1.3664283380001927E-16</v>
      </c>
      <c r="V430">
        <v>0.67</v>
      </c>
      <c r="W430">
        <v>34.71</v>
      </c>
      <c r="X430">
        <f t="shared" si="86"/>
        <v>604.64819999999997</v>
      </c>
      <c r="Y430">
        <f t="shared" si="87"/>
        <v>604.64819999999997</v>
      </c>
      <c r="Z430">
        <f t="shared" si="88"/>
        <v>0</v>
      </c>
      <c r="AB430" t="s">
        <v>419</v>
      </c>
      <c r="AE430" t="s">
        <v>420</v>
      </c>
    </row>
    <row r="431" spans="4:31" x14ac:dyDescent="0.25">
      <c r="D431" t="s">
        <v>561</v>
      </c>
      <c r="E431" t="s">
        <v>417</v>
      </c>
      <c r="F431">
        <v>11.85</v>
      </c>
      <c r="G431">
        <v>11.85</v>
      </c>
      <c r="H431">
        <v>1</v>
      </c>
      <c r="I431">
        <f t="shared" si="79"/>
        <v>0</v>
      </c>
      <c r="J431">
        <v>1</v>
      </c>
      <c r="K431">
        <f t="shared" si="80"/>
        <v>11.85</v>
      </c>
      <c r="L431" t="s">
        <v>418</v>
      </c>
      <c r="N431">
        <f t="shared" si="89"/>
        <v>525.44606399999998</v>
      </c>
      <c r="O431">
        <f t="shared" si="81"/>
        <v>0.13098878984507023</v>
      </c>
      <c r="P431" t="s">
        <v>39</v>
      </c>
      <c r="Q431">
        <f t="shared" si="82"/>
        <v>2.1940928270042193</v>
      </c>
      <c r="R431">
        <f t="shared" si="83"/>
        <v>25.999999999999996</v>
      </c>
      <c r="S431">
        <f t="shared" si="84"/>
        <v>25.999999999999996</v>
      </c>
      <c r="T431">
        <v>26</v>
      </c>
      <c r="U431">
        <f t="shared" si="85"/>
        <v>1.3664283380001927E-16</v>
      </c>
      <c r="V431">
        <v>0.67</v>
      </c>
      <c r="W431">
        <v>34.71</v>
      </c>
      <c r="X431">
        <f t="shared" si="86"/>
        <v>604.64819999999997</v>
      </c>
      <c r="Y431">
        <f t="shared" si="87"/>
        <v>604.64819999999997</v>
      </c>
      <c r="Z431">
        <f t="shared" si="88"/>
        <v>0</v>
      </c>
      <c r="AB431" t="s">
        <v>419</v>
      </c>
      <c r="AE431" t="s">
        <v>420</v>
      </c>
    </row>
    <row r="432" spans="4:31" x14ac:dyDescent="0.25">
      <c r="D432" t="s">
        <v>562</v>
      </c>
      <c r="E432" t="s">
        <v>417</v>
      </c>
      <c r="F432">
        <v>11.24</v>
      </c>
      <c r="G432">
        <v>11.24</v>
      </c>
      <c r="H432">
        <v>1</v>
      </c>
      <c r="I432">
        <f t="shared" si="79"/>
        <v>0</v>
      </c>
      <c r="J432">
        <v>1</v>
      </c>
      <c r="K432">
        <f t="shared" si="80"/>
        <v>11.24</v>
      </c>
      <c r="L432" t="s">
        <v>418</v>
      </c>
      <c r="N432">
        <f t="shared" si="89"/>
        <v>498.39778559999996</v>
      </c>
      <c r="O432">
        <f t="shared" si="81"/>
        <v>0.17572270024123135</v>
      </c>
      <c r="P432" t="s">
        <v>39</v>
      </c>
      <c r="Q432">
        <f t="shared" si="82"/>
        <v>2.3131672597864767</v>
      </c>
      <c r="R432">
        <f t="shared" si="83"/>
        <v>26</v>
      </c>
      <c r="S432">
        <f t="shared" si="84"/>
        <v>26</v>
      </c>
      <c r="T432">
        <v>26</v>
      </c>
      <c r="U432">
        <f t="shared" si="85"/>
        <v>0</v>
      </c>
      <c r="V432">
        <v>0.67</v>
      </c>
      <c r="W432">
        <v>34.71</v>
      </c>
      <c r="X432">
        <f t="shared" si="86"/>
        <v>604.64820000000009</v>
      </c>
      <c r="Y432">
        <f t="shared" si="87"/>
        <v>604.64820000000009</v>
      </c>
      <c r="Z432">
        <f t="shared" si="88"/>
        <v>0</v>
      </c>
      <c r="AB432" t="s">
        <v>419</v>
      </c>
      <c r="AE432" t="s">
        <v>420</v>
      </c>
    </row>
    <row r="433" spans="4:31" x14ac:dyDescent="0.25">
      <c r="D433" t="s">
        <v>563</v>
      </c>
      <c r="E433" t="s">
        <v>417</v>
      </c>
      <c r="F433">
        <v>12.54</v>
      </c>
      <c r="G433">
        <v>12.54</v>
      </c>
      <c r="H433">
        <v>1</v>
      </c>
      <c r="I433">
        <f t="shared" si="79"/>
        <v>0</v>
      </c>
      <c r="J433">
        <v>1</v>
      </c>
      <c r="K433">
        <f t="shared" si="80"/>
        <v>12.54</v>
      </c>
      <c r="L433" t="s">
        <v>418</v>
      </c>
      <c r="N433">
        <f t="shared" si="89"/>
        <v>556.04165759999989</v>
      </c>
      <c r="O433">
        <f t="shared" si="81"/>
        <v>8.0388137101872106E-2</v>
      </c>
      <c r="P433" t="s">
        <v>39</v>
      </c>
      <c r="Q433">
        <f t="shared" si="82"/>
        <v>2.0733652312599684</v>
      </c>
      <c r="R433">
        <f t="shared" si="83"/>
        <v>26.000000000000004</v>
      </c>
      <c r="S433">
        <f t="shared" si="84"/>
        <v>26.000000000000004</v>
      </c>
      <c r="T433">
        <v>26</v>
      </c>
      <c r="U433">
        <f t="shared" si="85"/>
        <v>-1.3664283380001925E-16</v>
      </c>
      <c r="V433">
        <v>0.67</v>
      </c>
      <c r="W433">
        <v>34.71</v>
      </c>
      <c r="X433">
        <f t="shared" si="86"/>
        <v>604.64820000000009</v>
      </c>
      <c r="Y433">
        <f t="shared" si="87"/>
        <v>604.64820000000009</v>
      </c>
      <c r="Z433">
        <f t="shared" si="88"/>
        <v>0</v>
      </c>
      <c r="AB433" t="s">
        <v>419</v>
      </c>
      <c r="AE433" t="s">
        <v>420</v>
      </c>
    </row>
    <row r="434" spans="4:31" x14ac:dyDescent="0.25">
      <c r="D434" t="s">
        <v>564</v>
      </c>
      <c r="E434" t="s">
        <v>417</v>
      </c>
      <c r="F434">
        <v>12.46</v>
      </c>
      <c r="G434">
        <v>12.46</v>
      </c>
      <c r="H434">
        <v>1</v>
      </c>
      <c r="I434">
        <f t="shared" si="79"/>
        <v>0</v>
      </c>
      <c r="J434">
        <v>1</v>
      </c>
      <c r="K434">
        <f t="shared" si="80"/>
        <v>12.46</v>
      </c>
      <c r="L434" t="s">
        <v>418</v>
      </c>
      <c r="N434">
        <f t="shared" si="89"/>
        <v>552.49434239999994</v>
      </c>
      <c r="O434">
        <f t="shared" si="81"/>
        <v>0.28007960199004989</v>
      </c>
      <c r="P434" t="s">
        <v>39</v>
      </c>
      <c r="Q434">
        <f t="shared" si="82"/>
        <v>2.6484751203852324</v>
      </c>
      <c r="R434">
        <f t="shared" si="83"/>
        <v>33</v>
      </c>
      <c r="S434">
        <f t="shared" si="84"/>
        <v>33</v>
      </c>
      <c r="T434">
        <v>33</v>
      </c>
      <c r="U434">
        <f t="shared" si="85"/>
        <v>0</v>
      </c>
      <c r="V434">
        <v>0.67</v>
      </c>
      <c r="W434">
        <v>34.71</v>
      </c>
      <c r="X434">
        <f t="shared" si="86"/>
        <v>767.43810000000008</v>
      </c>
      <c r="Y434">
        <f t="shared" si="87"/>
        <v>767.43810000000008</v>
      </c>
      <c r="Z434">
        <f t="shared" si="88"/>
        <v>0</v>
      </c>
      <c r="AB434" t="s">
        <v>419</v>
      </c>
      <c r="AE434" t="s">
        <v>420</v>
      </c>
    </row>
    <row r="435" spans="4:31" x14ac:dyDescent="0.25">
      <c r="D435" t="s">
        <v>565</v>
      </c>
      <c r="E435" t="s">
        <v>417</v>
      </c>
      <c r="F435">
        <v>12.97</v>
      </c>
      <c r="G435">
        <v>12.97</v>
      </c>
      <c r="H435">
        <v>1</v>
      </c>
      <c r="I435">
        <f t="shared" si="79"/>
        <v>0</v>
      </c>
      <c r="J435">
        <v>1</v>
      </c>
      <c r="K435">
        <f t="shared" si="80"/>
        <v>12.97</v>
      </c>
      <c r="L435" t="s">
        <v>418</v>
      </c>
      <c r="N435">
        <f t="shared" si="89"/>
        <v>575.10847679999995</v>
      </c>
      <c r="O435">
        <f t="shared" si="81"/>
        <v>0.25061255520152065</v>
      </c>
      <c r="P435" t="s">
        <v>39</v>
      </c>
      <c r="Q435">
        <f t="shared" si="82"/>
        <v>2.5443330763299921</v>
      </c>
      <c r="R435">
        <f t="shared" si="83"/>
        <v>33</v>
      </c>
      <c r="S435">
        <f t="shared" si="84"/>
        <v>33</v>
      </c>
      <c r="T435">
        <v>33</v>
      </c>
      <c r="U435">
        <f t="shared" si="85"/>
        <v>0</v>
      </c>
      <c r="V435">
        <v>0.67</v>
      </c>
      <c r="W435">
        <v>34.71</v>
      </c>
      <c r="X435">
        <f t="shared" si="86"/>
        <v>767.43810000000008</v>
      </c>
      <c r="Y435">
        <f t="shared" si="87"/>
        <v>767.43810000000008</v>
      </c>
      <c r="Z435">
        <f t="shared" si="88"/>
        <v>0</v>
      </c>
      <c r="AB435" t="s">
        <v>419</v>
      </c>
      <c r="AE435" t="s">
        <v>420</v>
      </c>
    </row>
    <row r="436" spans="4:31" x14ac:dyDescent="0.25">
      <c r="D436" t="s">
        <v>566</v>
      </c>
      <c r="E436" t="s">
        <v>417</v>
      </c>
      <c r="F436">
        <v>13.5</v>
      </c>
      <c r="G436">
        <v>13.5</v>
      </c>
      <c r="H436">
        <v>1</v>
      </c>
      <c r="I436">
        <f t="shared" si="79"/>
        <v>0</v>
      </c>
      <c r="J436">
        <v>1</v>
      </c>
      <c r="K436">
        <f t="shared" si="80"/>
        <v>13.5</v>
      </c>
      <c r="L436" t="s">
        <v>418</v>
      </c>
      <c r="N436">
        <f t="shared" si="89"/>
        <v>598.60943999999995</v>
      </c>
      <c r="O436">
        <f t="shared" si="81"/>
        <v>0.28499077645480475</v>
      </c>
      <c r="P436" t="s">
        <v>39</v>
      </c>
      <c r="Q436">
        <f t="shared" si="82"/>
        <v>2.6666666666666665</v>
      </c>
      <c r="R436">
        <f t="shared" si="83"/>
        <v>36</v>
      </c>
      <c r="S436">
        <f t="shared" si="84"/>
        <v>36</v>
      </c>
      <c r="T436">
        <v>36</v>
      </c>
      <c r="U436">
        <f t="shared" si="85"/>
        <v>0</v>
      </c>
      <c r="V436">
        <v>0.67</v>
      </c>
      <c r="W436">
        <v>34.71</v>
      </c>
      <c r="X436">
        <f t="shared" si="86"/>
        <v>837.2052000000001</v>
      </c>
      <c r="Y436">
        <f t="shared" si="87"/>
        <v>837.20519999999999</v>
      </c>
      <c r="Z436">
        <f t="shared" si="88"/>
        <v>-1.357932771100992E-16</v>
      </c>
      <c r="AB436" t="s">
        <v>419</v>
      </c>
      <c r="AE436" t="s">
        <v>420</v>
      </c>
    </row>
    <row r="437" spans="4:31" x14ac:dyDescent="0.25">
      <c r="D437" t="s">
        <v>567</v>
      </c>
      <c r="E437" t="s">
        <v>417</v>
      </c>
      <c r="F437">
        <v>15.08</v>
      </c>
      <c r="G437">
        <v>15.08</v>
      </c>
      <c r="H437">
        <v>1</v>
      </c>
      <c r="I437">
        <f t="shared" si="79"/>
        <v>0</v>
      </c>
      <c r="J437">
        <v>1</v>
      </c>
      <c r="K437">
        <f t="shared" si="80"/>
        <v>15.08</v>
      </c>
      <c r="L437" t="s">
        <v>418</v>
      </c>
      <c r="N437">
        <f t="shared" si="89"/>
        <v>668.6689151999999</v>
      </c>
      <c r="O437">
        <f t="shared" si="81"/>
        <v>0.20130821547692271</v>
      </c>
      <c r="P437" t="s">
        <v>39</v>
      </c>
      <c r="Q437">
        <f t="shared" si="82"/>
        <v>2.3872679045092839</v>
      </c>
      <c r="R437">
        <f t="shared" si="83"/>
        <v>36</v>
      </c>
      <c r="S437">
        <f t="shared" si="84"/>
        <v>36</v>
      </c>
      <c r="T437">
        <v>36</v>
      </c>
      <c r="U437">
        <f t="shared" si="85"/>
        <v>0</v>
      </c>
      <c r="V437">
        <v>0.67</v>
      </c>
      <c r="W437">
        <v>34.71</v>
      </c>
      <c r="X437">
        <f t="shared" si="86"/>
        <v>837.2052000000001</v>
      </c>
      <c r="Y437">
        <f t="shared" si="87"/>
        <v>837.20519999999999</v>
      </c>
      <c r="Z437">
        <f t="shared" si="88"/>
        <v>-1.357932771100992E-16</v>
      </c>
      <c r="AB437" t="s">
        <v>419</v>
      </c>
      <c r="AE437" t="s">
        <v>420</v>
      </c>
    </row>
    <row r="438" spans="4:31" x14ac:dyDescent="0.25">
      <c r="D438" t="s">
        <v>568</v>
      </c>
      <c r="E438" t="s">
        <v>417</v>
      </c>
      <c r="F438">
        <v>20.079999999999998</v>
      </c>
      <c r="G438">
        <v>20.079999999999998</v>
      </c>
      <c r="H438">
        <v>1</v>
      </c>
      <c r="I438">
        <f t="shared" si="79"/>
        <v>0</v>
      </c>
      <c r="J438">
        <v>1</v>
      </c>
      <c r="K438">
        <f t="shared" si="80"/>
        <v>20.079999999999998</v>
      </c>
      <c r="L438" t="s">
        <v>418</v>
      </c>
      <c r="N438">
        <f t="shared" si="89"/>
        <v>890.37611519999984</v>
      </c>
      <c r="O438">
        <f t="shared" si="81"/>
        <v>0.21864570292312824</v>
      </c>
      <c r="P438" t="s">
        <v>39</v>
      </c>
      <c r="Q438">
        <f t="shared" si="82"/>
        <v>2.4402390438247012</v>
      </c>
      <c r="R438">
        <f t="shared" si="83"/>
        <v>49</v>
      </c>
      <c r="S438">
        <f t="shared" si="84"/>
        <v>49</v>
      </c>
      <c r="T438">
        <v>49</v>
      </c>
      <c r="U438">
        <f t="shared" si="85"/>
        <v>0</v>
      </c>
      <c r="V438">
        <v>0.67</v>
      </c>
      <c r="W438">
        <v>34.71</v>
      </c>
      <c r="X438">
        <f t="shared" si="86"/>
        <v>1139.5293000000001</v>
      </c>
      <c r="Y438">
        <f t="shared" si="87"/>
        <v>1139.5293000000001</v>
      </c>
      <c r="Z438">
        <f t="shared" si="88"/>
        <v>0</v>
      </c>
      <c r="AB438" t="s">
        <v>419</v>
      </c>
      <c r="AE438" t="s">
        <v>420</v>
      </c>
    </row>
    <row r="439" spans="4:31" x14ac:dyDescent="0.25">
      <c r="D439" t="s">
        <v>569</v>
      </c>
      <c r="E439" t="s">
        <v>417</v>
      </c>
      <c r="F439">
        <v>21.38</v>
      </c>
      <c r="G439">
        <v>21.38</v>
      </c>
      <c r="H439">
        <v>1</v>
      </c>
      <c r="I439">
        <f t="shared" si="79"/>
        <v>0</v>
      </c>
      <c r="J439">
        <v>1</v>
      </c>
      <c r="K439">
        <f t="shared" si="80"/>
        <v>21.38</v>
      </c>
      <c r="L439" t="s">
        <v>418</v>
      </c>
      <c r="N439">
        <f t="shared" si="89"/>
        <v>948.01998719999983</v>
      </c>
      <c r="O439">
        <f t="shared" si="81"/>
        <v>0.16806001635938653</v>
      </c>
      <c r="P439" t="s">
        <v>39</v>
      </c>
      <c r="Q439">
        <f t="shared" si="82"/>
        <v>2.2918615528531339</v>
      </c>
      <c r="R439">
        <f t="shared" si="83"/>
        <v>49</v>
      </c>
      <c r="S439">
        <f t="shared" si="84"/>
        <v>49</v>
      </c>
      <c r="T439">
        <v>49</v>
      </c>
      <c r="U439">
        <f t="shared" si="85"/>
        <v>0</v>
      </c>
      <c r="V439">
        <v>0.67</v>
      </c>
      <c r="W439">
        <v>34.71</v>
      </c>
      <c r="X439">
        <f t="shared" si="86"/>
        <v>1139.5293000000001</v>
      </c>
      <c r="Y439">
        <f t="shared" si="87"/>
        <v>1139.5293000000001</v>
      </c>
      <c r="Z439">
        <f t="shared" si="88"/>
        <v>0</v>
      </c>
      <c r="AB439" t="s">
        <v>419</v>
      </c>
      <c r="AE439" t="s">
        <v>420</v>
      </c>
    </row>
    <row r="440" spans="4:31" x14ac:dyDescent="0.25">
      <c r="D440" t="s">
        <v>570</v>
      </c>
      <c r="E440" t="s">
        <v>417</v>
      </c>
      <c r="F440">
        <v>22.64</v>
      </c>
      <c r="G440">
        <v>22.64</v>
      </c>
      <c r="H440">
        <v>1</v>
      </c>
      <c r="I440">
        <f t="shared" si="79"/>
        <v>0</v>
      </c>
      <c r="J440">
        <v>1</v>
      </c>
      <c r="K440">
        <f t="shared" si="80"/>
        <v>22.64</v>
      </c>
      <c r="L440" t="s">
        <v>418</v>
      </c>
      <c r="N440">
        <f t="shared" si="89"/>
        <v>1003.8902016</v>
      </c>
      <c r="O440">
        <f t="shared" si="81"/>
        <v>0.13665019620996169</v>
      </c>
      <c r="P440" t="s">
        <v>39</v>
      </c>
      <c r="Q440">
        <f t="shared" si="82"/>
        <v>2.2084805653710249</v>
      </c>
      <c r="R440">
        <f t="shared" si="83"/>
        <v>50.000000000000007</v>
      </c>
      <c r="S440">
        <f t="shared" si="84"/>
        <v>50.000000000000007</v>
      </c>
      <c r="T440">
        <v>50</v>
      </c>
      <c r="U440">
        <f t="shared" si="85"/>
        <v>-1.4210854715202002E-16</v>
      </c>
      <c r="V440">
        <v>0.67</v>
      </c>
      <c r="W440">
        <v>34.71</v>
      </c>
      <c r="X440">
        <f t="shared" si="86"/>
        <v>1162.7850000000003</v>
      </c>
      <c r="Y440">
        <f t="shared" si="87"/>
        <v>1162.7850000000003</v>
      </c>
      <c r="Z440">
        <f t="shared" si="88"/>
        <v>0</v>
      </c>
      <c r="AB440" t="s">
        <v>419</v>
      </c>
      <c r="AE440" t="s">
        <v>420</v>
      </c>
    </row>
    <row r="441" spans="4:31" x14ac:dyDescent="0.25">
      <c r="D441" t="s">
        <v>571</v>
      </c>
      <c r="E441" t="s">
        <v>417</v>
      </c>
      <c r="F441">
        <v>24.39</v>
      </c>
      <c r="G441">
        <v>24.39</v>
      </c>
      <c r="H441">
        <v>1</v>
      </c>
      <c r="I441">
        <f t="shared" si="79"/>
        <v>0</v>
      </c>
      <c r="J441">
        <v>1</v>
      </c>
      <c r="K441">
        <f t="shared" si="80"/>
        <v>24.39</v>
      </c>
      <c r="L441" t="s">
        <v>418</v>
      </c>
      <c r="N441">
        <f t="shared" si="89"/>
        <v>1081.4877216</v>
      </c>
      <c r="O441">
        <f t="shared" si="81"/>
        <v>6.9916002012409939E-2</v>
      </c>
      <c r="P441" t="s">
        <v>39</v>
      </c>
      <c r="Q441">
        <f t="shared" si="82"/>
        <v>2.0500205002050018</v>
      </c>
      <c r="R441">
        <f t="shared" si="83"/>
        <v>49.999999999999993</v>
      </c>
      <c r="S441">
        <f t="shared" si="84"/>
        <v>49.999999999999993</v>
      </c>
      <c r="T441">
        <v>50</v>
      </c>
      <c r="U441">
        <f t="shared" si="85"/>
        <v>1.4210854715202006E-16</v>
      </c>
      <c r="V441">
        <v>0.67</v>
      </c>
      <c r="W441">
        <v>34.71</v>
      </c>
      <c r="X441">
        <f t="shared" si="86"/>
        <v>1162.7850000000001</v>
      </c>
      <c r="Y441">
        <f t="shared" si="87"/>
        <v>1162.7849999999999</v>
      </c>
      <c r="Z441">
        <f t="shared" si="88"/>
        <v>-1.9554231903854286E-16</v>
      </c>
      <c r="AB441" t="s">
        <v>419</v>
      </c>
      <c r="AE441" t="s">
        <v>420</v>
      </c>
    </row>
    <row r="442" spans="4:31" x14ac:dyDescent="0.25">
      <c r="D442" t="s">
        <v>572</v>
      </c>
      <c r="E442" t="s">
        <v>417</v>
      </c>
      <c r="F442">
        <v>25.86</v>
      </c>
      <c r="G442">
        <v>25.86</v>
      </c>
      <c r="H442">
        <v>1</v>
      </c>
      <c r="I442">
        <f t="shared" si="79"/>
        <v>0</v>
      </c>
      <c r="J442">
        <v>1</v>
      </c>
      <c r="K442">
        <f t="shared" si="80"/>
        <v>25.86</v>
      </c>
      <c r="L442" t="s">
        <v>418</v>
      </c>
      <c r="N442">
        <f t="shared" si="89"/>
        <v>1146.6696383999999</v>
      </c>
      <c r="O442">
        <f t="shared" si="81"/>
        <v>0.17821606573872223</v>
      </c>
      <c r="P442" t="s">
        <v>39</v>
      </c>
      <c r="Q442">
        <f t="shared" si="82"/>
        <v>2.3201856148491879</v>
      </c>
      <c r="R442">
        <f t="shared" si="83"/>
        <v>60</v>
      </c>
      <c r="S442">
        <f t="shared" si="84"/>
        <v>60</v>
      </c>
      <c r="T442">
        <v>60</v>
      </c>
      <c r="U442">
        <f t="shared" si="85"/>
        <v>0</v>
      </c>
      <c r="V442">
        <v>0.67</v>
      </c>
      <c r="W442">
        <v>34.71</v>
      </c>
      <c r="X442">
        <f t="shared" si="86"/>
        <v>1395.3420000000001</v>
      </c>
      <c r="Y442">
        <f t="shared" si="87"/>
        <v>1395.3420000000001</v>
      </c>
      <c r="Z442">
        <f t="shared" si="88"/>
        <v>0</v>
      </c>
      <c r="AB442" t="s">
        <v>419</v>
      </c>
      <c r="AE442" t="s">
        <v>420</v>
      </c>
    </row>
    <row r="443" spans="4:31" x14ac:dyDescent="0.25">
      <c r="D443" t="s">
        <v>573</v>
      </c>
      <c r="E443" t="s">
        <v>417</v>
      </c>
      <c r="F443">
        <v>27.58</v>
      </c>
      <c r="G443">
        <v>27.58</v>
      </c>
      <c r="H443">
        <v>1</v>
      </c>
      <c r="I443">
        <f t="shared" si="79"/>
        <v>0</v>
      </c>
      <c r="J443">
        <v>1</v>
      </c>
      <c r="K443">
        <f t="shared" si="80"/>
        <v>27.58</v>
      </c>
      <c r="L443" t="s">
        <v>418</v>
      </c>
      <c r="N443">
        <f t="shared" si="89"/>
        <v>1222.9369151999999</v>
      </c>
      <c r="O443">
        <f t="shared" si="81"/>
        <v>0.12355758287215618</v>
      </c>
      <c r="P443" t="s">
        <v>39</v>
      </c>
      <c r="Q443">
        <f t="shared" si="82"/>
        <v>2.1754894851341553</v>
      </c>
      <c r="R443">
        <f t="shared" si="83"/>
        <v>60</v>
      </c>
      <c r="S443">
        <f t="shared" si="84"/>
        <v>60</v>
      </c>
      <c r="T443">
        <v>60</v>
      </c>
      <c r="U443">
        <f t="shared" si="85"/>
        <v>0</v>
      </c>
      <c r="V443">
        <v>0.67</v>
      </c>
      <c r="W443">
        <v>34.71</v>
      </c>
      <c r="X443">
        <f t="shared" si="86"/>
        <v>1395.3420000000001</v>
      </c>
      <c r="Y443">
        <f t="shared" si="87"/>
        <v>1395.3420000000001</v>
      </c>
      <c r="Z443">
        <f t="shared" si="88"/>
        <v>0</v>
      </c>
      <c r="AB443" t="s">
        <v>419</v>
      </c>
      <c r="AE443" t="s">
        <v>420</v>
      </c>
    </row>
    <row r="444" spans="4:31" x14ac:dyDescent="0.25">
      <c r="D444" t="s">
        <v>574</v>
      </c>
      <c r="E444" t="s">
        <v>417</v>
      </c>
      <c r="F444">
        <v>34.340000000000003</v>
      </c>
      <c r="G444">
        <v>34.340000000000003</v>
      </c>
      <c r="H444">
        <v>1</v>
      </c>
      <c r="I444">
        <f t="shared" si="79"/>
        <v>0</v>
      </c>
      <c r="J444">
        <v>1</v>
      </c>
      <c r="K444">
        <f t="shared" si="80"/>
        <v>34.340000000000003</v>
      </c>
      <c r="L444" t="s">
        <v>418</v>
      </c>
      <c r="N444">
        <f t="shared" si="89"/>
        <v>1522.6850496</v>
      </c>
      <c r="O444">
        <f t="shared" si="81"/>
        <v>0.14966522124529846</v>
      </c>
      <c r="P444" t="s">
        <v>39</v>
      </c>
      <c r="Q444">
        <f t="shared" si="82"/>
        <v>2.2422830518345949</v>
      </c>
      <c r="R444">
        <f t="shared" si="83"/>
        <v>77</v>
      </c>
      <c r="S444">
        <f t="shared" si="84"/>
        <v>77</v>
      </c>
      <c r="T444">
        <v>77</v>
      </c>
      <c r="U444">
        <f t="shared" si="85"/>
        <v>0</v>
      </c>
      <c r="V444">
        <v>0.67</v>
      </c>
      <c r="W444">
        <v>34.71</v>
      </c>
      <c r="X444">
        <f t="shared" si="86"/>
        <v>1790.6889000000001</v>
      </c>
      <c r="Y444">
        <f t="shared" si="87"/>
        <v>1790.6889000000001</v>
      </c>
      <c r="Z444">
        <f t="shared" si="88"/>
        <v>0</v>
      </c>
      <c r="AB444" t="s">
        <v>419</v>
      </c>
      <c r="AE444" t="s">
        <v>420</v>
      </c>
    </row>
    <row r="445" spans="4:31" x14ac:dyDescent="0.25">
      <c r="D445" t="s">
        <v>575</v>
      </c>
      <c r="E445" t="s">
        <v>417</v>
      </c>
      <c r="F445">
        <v>31.68</v>
      </c>
      <c r="G445">
        <v>31.68</v>
      </c>
      <c r="H445">
        <v>1</v>
      </c>
      <c r="I445">
        <f t="shared" si="79"/>
        <v>0</v>
      </c>
      <c r="J445">
        <v>1</v>
      </c>
      <c r="K445">
        <f t="shared" si="80"/>
        <v>31.68</v>
      </c>
      <c r="L445" t="s">
        <v>418</v>
      </c>
      <c r="N445">
        <f t="shared" si="89"/>
        <v>1404.7368191999999</v>
      </c>
      <c r="O445">
        <f t="shared" si="81"/>
        <v>0.46545151145930891</v>
      </c>
      <c r="P445" t="s">
        <v>39</v>
      </c>
      <c r="Q445">
        <f t="shared" si="82"/>
        <v>3.566919191919192</v>
      </c>
      <c r="R445">
        <f t="shared" si="83"/>
        <v>113</v>
      </c>
      <c r="S445">
        <f t="shared" si="84"/>
        <v>113</v>
      </c>
      <c r="T445">
        <v>113</v>
      </c>
      <c r="U445">
        <f t="shared" si="85"/>
        <v>0</v>
      </c>
      <c r="V445">
        <v>0.67</v>
      </c>
      <c r="W445">
        <v>34.71</v>
      </c>
      <c r="X445">
        <f t="shared" si="86"/>
        <v>2627.8941000000004</v>
      </c>
      <c r="Y445">
        <f t="shared" si="87"/>
        <v>2627.8941</v>
      </c>
      <c r="Z445">
        <f t="shared" si="88"/>
        <v>-1.7304630003410869E-16</v>
      </c>
      <c r="AB445" t="s">
        <v>419</v>
      </c>
      <c r="AE445" t="s">
        <v>420</v>
      </c>
    </row>
    <row r="446" spans="4:31" x14ac:dyDescent="0.25">
      <c r="D446" t="s">
        <v>576</v>
      </c>
      <c r="E446" t="s">
        <v>417</v>
      </c>
      <c r="F446">
        <v>35</v>
      </c>
      <c r="G446">
        <v>35</v>
      </c>
      <c r="H446">
        <v>1</v>
      </c>
      <c r="I446">
        <f t="shared" si="79"/>
        <v>0</v>
      </c>
      <c r="J446">
        <v>1</v>
      </c>
      <c r="K446">
        <f t="shared" si="80"/>
        <v>35</v>
      </c>
      <c r="L446" t="s">
        <v>418</v>
      </c>
      <c r="N446">
        <f t="shared" si="89"/>
        <v>1551.9503999999997</v>
      </c>
      <c r="O446">
        <f t="shared" si="81"/>
        <v>0.47036353811467024</v>
      </c>
      <c r="P446" t="s">
        <v>39</v>
      </c>
      <c r="Q446">
        <f t="shared" si="82"/>
        <v>3.6</v>
      </c>
      <c r="R446">
        <f t="shared" si="83"/>
        <v>126</v>
      </c>
      <c r="S446">
        <f t="shared" si="84"/>
        <v>126</v>
      </c>
      <c r="T446">
        <v>126</v>
      </c>
      <c r="U446">
        <f t="shared" si="85"/>
        <v>0</v>
      </c>
      <c r="V446">
        <v>0.67</v>
      </c>
      <c r="W446">
        <v>34.71</v>
      </c>
      <c r="X446">
        <f t="shared" si="86"/>
        <v>2930.2182000000003</v>
      </c>
      <c r="Y446">
        <f t="shared" si="87"/>
        <v>2930.2182000000003</v>
      </c>
      <c r="Z446">
        <f t="shared" si="88"/>
        <v>0</v>
      </c>
      <c r="AB446" t="s">
        <v>419</v>
      </c>
      <c r="AE446" t="s">
        <v>420</v>
      </c>
    </row>
    <row r="447" spans="4:31" x14ac:dyDescent="0.25">
      <c r="D447" t="s">
        <v>577</v>
      </c>
      <c r="E447" t="s">
        <v>417</v>
      </c>
      <c r="F447">
        <v>35.229999999999997</v>
      </c>
      <c r="G447">
        <v>35.229999999999997</v>
      </c>
      <c r="H447">
        <v>1</v>
      </c>
      <c r="I447">
        <f t="shared" si="79"/>
        <v>0</v>
      </c>
      <c r="J447">
        <v>1</v>
      </c>
      <c r="K447">
        <f t="shared" si="80"/>
        <v>35.229999999999997</v>
      </c>
      <c r="L447" t="s">
        <v>418</v>
      </c>
      <c r="N447">
        <f t="shared" ref="N447:N459" si="90">K447*$N$3*$O$3</f>
        <v>1562.1489311999999</v>
      </c>
      <c r="O447">
        <f t="shared" si="81"/>
        <v>0.51674292670508915</v>
      </c>
      <c r="P447" t="s">
        <v>39</v>
      </c>
      <c r="Q447">
        <f t="shared" si="82"/>
        <v>3.9455009934714735</v>
      </c>
      <c r="R447">
        <f t="shared" si="83"/>
        <v>139</v>
      </c>
      <c r="S447">
        <f t="shared" si="84"/>
        <v>139</v>
      </c>
      <c r="T447">
        <v>139</v>
      </c>
      <c r="U447">
        <f t="shared" si="85"/>
        <v>0</v>
      </c>
      <c r="V447">
        <v>0.67</v>
      </c>
      <c r="W447">
        <v>34.71</v>
      </c>
      <c r="X447">
        <f t="shared" si="86"/>
        <v>3232.5423000000005</v>
      </c>
      <c r="Y447">
        <f t="shared" si="87"/>
        <v>3232.5423000000005</v>
      </c>
      <c r="Z447">
        <f t="shared" si="88"/>
        <v>0</v>
      </c>
      <c r="AB447" t="s">
        <v>419</v>
      </c>
      <c r="AE447" t="s">
        <v>420</v>
      </c>
    </row>
    <row r="448" spans="4:31" x14ac:dyDescent="0.25">
      <c r="D448" t="s">
        <v>578</v>
      </c>
      <c r="E448" t="s">
        <v>417</v>
      </c>
      <c r="F448">
        <v>35.69</v>
      </c>
      <c r="G448">
        <v>35.69</v>
      </c>
      <c r="H448">
        <v>1</v>
      </c>
      <c r="I448">
        <f t="shared" si="79"/>
        <v>0</v>
      </c>
      <c r="J448">
        <v>1</v>
      </c>
      <c r="K448">
        <f t="shared" si="80"/>
        <v>35.69</v>
      </c>
      <c r="L448" t="s">
        <v>418</v>
      </c>
      <c r="N448">
        <f t="shared" si="90"/>
        <v>1582.5459935999997</v>
      </c>
      <c r="O448">
        <f t="shared" si="81"/>
        <v>0.5581181092930213</v>
      </c>
      <c r="P448" t="s">
        <v>39</v>
      </c>
      <c r="Q448">
        <f t="shared" si="82"/>
        <v>4.3149341552255533</v>
      </c>
      <c r="R448">
        <f t="shared" si="83"/>
        <v>154</v>
      </c>
      <c r="S448">
        <f t="shared" si="84"/>
        <v>154</v>
      </c>
      <c r="T448">
        <v>154</v>
      </c>
      <c r="U448">
        <f t="shared" si="85"/>
        <v>0</v>
      </c>
      <c r="V448">
        <v>0.67</v>
      </c>
      <c r="W448">
        <v>34.71</v>
      </c>
      <c r="X448">
        <f t="shared" si="86"/>
        <v>3581.3778000000002</v>
      </c>
      <c r="Y448">
        <f t="shared" si="87"/>
        <v>3581.3778000000002</v>
      </c>
      <c r="Z448">
        <f t="shared" si="88"/>
        <v>0</v>
      </c>
      <c r="AB448" t="s">
        <v>419</v>
      </c>
      <c r="AE448" t="s">
        <v>420</v>
      </c>
    </row>
    <row r="449" spans="1:31" x14ac:dyDescent="0.25">
      <c r="D449" t="s">
        <v>579</v>
      </c>
      <c r="E449" t="s">
        <v>417</v>
      </c>
      <c r="F449">
        <v>35.69</v>
      </c>
      <c r="G449">
        <v>35.69</v>
      </c>
      <c r="H449">
        <v>1</v>
      </c>
      <c r="I449">
        <f t="shared" si="79"/>
        <v>0</v>
      </c>
      <c r="J449">
        <v>1</v>
      </c>
      <c r="K449">
        <f t="shared" si="80"/>
        <v>35.69</v>
      </c>
      <c r="L449" t="s">
        <v>418</v>
      </c>
      <c r="N449">
        <f t="shared" si="90"/>
        <v>1582.5459935999997</v>
      </c>
      <c r="O449">
        <f t="shared" si="81"/>
        <v>0.5581181092930213</v>
      </c>
      <c r="P449" t="s">
        <v>39</v>
      </c>
      <c r="Q449">
        <f t="shared" si="82"/>
        <v>4.3149341552255533</v>
      </c>
      <c r="R449">
        <f t="shared" si="83"/>
        <v>154</v>
      </c>
      <c r="S449">
        <f t="shared" si="84"/>
        <v>154</v>
      </c>
      <c r="T449">
        <v>154</v>
      </c>
      <c r="U449">
        <f t="shared" si="85"/>
        <v>0</v>
      </c>
      <c r="V449">
        <v>0.67</v>
      </c>
      <c r="W449">
        <v>34.71</v>
      </c>
      <c r="X449">
        <f t="shared" si="86"/>
        <v>3581.3778000000002</v>
      </c>
      <c r="Y449">
        <f t="shared" si="87"/>
        <v>3581.3778000000002</v>
      </c>
      <c r="Z449">
        <f t="shared" si="88"/>
        <v>0</v>
      </c>
      <c r="AB449" t="s">
        <v>419</v>
      </c>
      <c r="AE449" t="s">
        <v>420</v>
      </c>
    </row>
    <row r="450" spans="1:31" x14ac:dyDescent="0.25">
      <c r="D450" t="s">
        <v>580</v>
      </c>
      <c r="E450" t="s">
        <v>417</v>
      </c>
      <c r="F450">
        <v>38.6</v>
      </c>
      <c r="G450">
        <v>38.6</v>
      </c>
      <c r="H450">
        <v>1</v>
      </c>
      <c r="I450">
        <f t="shared" si="79"/>
        <v>0</v>
      </c>
      <c r="J450">
        <v>1</v>
      </c>
      <c r="K450">
        <f t="shared" si="80"/>
        <v>38.6</v>
      </c>
      <c r="L450" t="s">
        <v>418</v>
      </c>
      <c r="N450">
        <f t="shared" si="90"/>
        <v>1711.5795839999998</v>
      </c>
      <c r="O450">
        <f t="shared" si="81"/>
        <v>0.54286780904605325</v>
      </c>
      <c r="P450" t="s">
        <v>39</v>
      </c>
      <c r="Q450">
        <f t="shared" si="82"/>
        <v>4.1709844559585489</v>
      </c>
      <c r="R450">
        <f t="shared" si="83"/>
        <v>161</v>
      </c>
      <c r="S450">
        <f t="shared" si="84"/>
        <v>161</v>
      </c>
      <c r="T450">
        <v>161</v>
      </c>
      <c r="U450">
        <f t="shared" si="85"/>
        <v>0</v>
      </c>
      <c r="V450">
        <v>0.67</v>
      </c>
      <c r="W450">
        <v>34.71</v>
      </c>
      <c r="X450">
        <f t="shared" si="86"/>
        <v>3744.1677000000004</v>
      </c>
      <c r="Y450">
        <f t="shared" si="87"/>
        <v>3744.1677000000004</v>
      </c>
      <c r="Z450">
        <f t="shared" si="88"/>
        <v>0</v>
      </c>
      <c r="AB450" t="s">
        <v>419</v>
      </c>
      <c r="AE450" t="s">
        <v>420</v>
      </c>
    </row>
    <row r="451" spans="1:31" x14ac:dyDescent="0.25">
      <c r="D451" t="s">
        <v>581</v>
      </c>
      <c r="E451" t="s">
        <v>417</v>
      </c>
      <c r="F451">
        <v>41.35</v>
      </c>
      <c r="G451">
        <v>41.35</v>
      </c>
      <c r="H451">
        <v>1</v>
      </c>
      <c r="I451">
        <f t="shared" si="79"/>
        <v>0</v>
      </c>
      <c r="J451">
        <v>1</v>
      </c>
      <c r="K451">
        <f t="shared" si="80"/>
        <v>41.35</v>
      </c>
      <c r="L451" t="s">
        <v>418</v>
      </c>
      <c r="N451">
        <f t="shared" si="90"/>
        <v>1833.5185439999998</v>
      </c>
      <c r="O451">
        <f t="shared" si="81"/>
        <v>0.53348116144230662</v>
      </c>
      <c r="P451" t="s">
        <v>39</v>
      </c>
      <c r="Q451">
        <f t="shared" si="82"/>
        <v>4.087061668681983</v>
      </c>
      <c r="R451">
        <f t="shared" si="83"/>
        <v>169</v>
      </c>
      <c r="S451">
        <f t="shared" si="84"/>
        <v>169</v>
      </c>
      <c r="T451">
        <v>169</v>
      </c>
      <c r="U451">
        <f t="shared" si="85"/>
        <v>0</v>
      </c>
      <c r="V451">
        <v>0.67</v>
      </c>
      <c r="W451">
        <v>34.71</v>
      </c>
      <c r="X451">
        <f t="shared" si="86"/>
        <v>3930.2133000000003</v>
      </c>
      <c r="Y451">
        <f t="shared" si="87"/>
        <v>3930.2132999999999</v>
      </c>
      <c r="Z451">
        <f t="shared" si="88"/>
        <v>-1.1570551422398984E-16</v>
      </c>
      <c r="AB451" t="s">
        <v>419</v>
      </c>
      <c r="AE451" t="s">
        <v>420</v>
      </c>
    </row>
    <row r="452" spans="1:31" x14ac:dyDescent="0.25">
      <c r="D452" t="s">
        <v>582</v>
      </c>
      <c r="E452" t="s">
        <v>417</v>
      </c>
      <c r="F452">
        <v>42.04</v>
      </c>
      <c r="G452">
        <v>42.04</v>
      </c>
      <c r="H452">
        <v>1</v>
      </c>
      <c r="I452">
        <f t="shared" si="79"/>
        <v>0</v>
      </c>
      <c r="J452">
        <v>1</v>
      </c>
      <c r="K452">
        <f t="shared" si="80"/>
        <v>42.04</v>
      </c>
      <c r="L452" t="s">
        <v>418</v>
      </c>
      <c r="N452">
        <f t="shared" si="90"/>
        <v>1864.1141375999998</v>
      </c>
      <c r="O452">
        <f t="shared" si="81"/>
        <v>0.55714198515152846</v>
      </c>
      <c r="P452" t="s">
        <v>39</v>
      </c>
      <c r="Q452">
        <f t="shared" si="82"/>
        <v>4.3054234062797336</v>
      </c>
      <c r="R452">
        <f t="shared" si="83"/>
        <v>181</v>
      </c>
      <c r="S452">
        <f t="shared" si="84"/>
        <v>181</v>
      </c>
      <c r="T452">
        <v>181</v>
      </c>
      <c r="U452">
        <f t="shared" si="85"/>
        <v>0</v>
      </c>
      <c r="V452">
        <v>0.67</v>
      </c>
      <c r="W452">
        <v>34.71</v>
      </c>
      <c r="X452">
        <f t="shared" si="86"/>
        <v>4209.2817000000005</v>
      </c>
      <c r="Y452">
        <f t="shared" si="87"/>
        <v>4209.2817000000005</v>
      </c>
      <c r="Z452">
        <f t="shared" si="88"/>
        <v>0</v>
      </c>
      <c r="AB452" t="s">
        <v>419</v>
      </c>
      <c r="AE452" t="s">
        <v>420</v>
      </c>
    </row>
    <row r="453" spans="1:31" x14ac:dyDescent="0.25">
      <c r="D453" t="s">
        <v>583</v>
      </c>
      <c r="E453" t="s">
        <v>417</v>
      </c>
      <c r="F453">
        <v>64.16</v>
      </c>
      <c r="G453">
        <v>64.16</v>
      </c>
      <c r="H453">
        <v>1</v>
      </c>
      <c r="I453">
        <f t="shared" si="79"/>
        <v>0</v>
      </c>
      <c r="J453">
        <v>1</v>
      </c>
      <c r="K453">
        <f t="shared" si="80"/>
        <v>64.16</v>
      </c>
      <c r="L453" t="s">
        <v>418</v>
      </c>
      <c r="N453">
        <f t="shared" si="90"/>
        <v>2844.9467903999998</v>
      </c>
      <c r="O453">
        <f t="shared" si="81"/>
        <v>0.46579339991080371</v>
      </c>
      <c r="P453" t="s">
        <v>39</v>
      </c>
      <c r="Q453">
        <f t="shared" si="82"/>
        <v>3.5692019950124689</v>
      </c>
      <c r="R453">
        <f t="shared" si="83"/>
        <v>229</v>
      </c>
      <c r="S453">
        <f t="shared" si="84"/>
        <v>229</v>
      </c>
      <c r="T453">
        <v>229</v>
      </c>
      <c r="U453">
        <f t="shared" si="85"/>
        <v>0</v>
      </c>
      <c r="V453">
        <v>0.67</v>
      </c>
      <c r="W453">
        <v>34.71</v>
      </c>
      <c r="X453">
        <f t="shared" si="86"/>
        <v>5325.5553</v>
      </c>
      <c r="Y453">
        <f t="shared" si="87"/>
        <v>5325.5553</v>
      </c>
      <c r="Z453">
        <f t="shared" si="88"/>
        <v>0</v>
      </c>
      <c r="AB453" t="s">
        <v>419</v>
      </c>
      <c r="AE453" t="s">
        <v>420</v>
      </c>
    </row>
    <row r="454" spans="1:31" x14ac:dyDescent="0.25">
      <c r="D454" t="s">
        <v>584</v>
      </c>
      <c r="E454" t="s">
        <v>417</v>
      </c>
      <c r="F454">
        <v>65.36</v>
      </c>
      <c r="G454">
        <v>65.36</v>
      </c>
      <c r="H454">
        <v>1</v>
      </c>
      <c r="I454">
        <f t="shared" si="79"/>
        <v>0</v>
      </c>
      <c r="J454">
        <v>1</v>
      </c>
      <c r="K454">
        <f t="shared" si="80"/>
        <v>65.36</v>
      </c>
      <c r="L454" t="s">
        <v>418</v>
      </c>
      <c r="N454">
        <f t="shared" si="90"/>
        <v>2898.1565183999996</v>
      </c>
      <c r="O454">
        <f t="shared" si="81"/>
        <v>0.4628390476906441</v>
      </c>
      <c r="P454" t="s">
        <v>39</v>
      </c>
      <c r="Q454">
        <f t="shared" si="82"/>
        <v>3.5495716034271725</v>
      </c>
      <c r="R454">
        <f t="shared" si="83"/>
        <v>232</v>
      </c>
      <c r="S454">
        <f t="shared" si="84"/>
        <v>232</v>
      </c>
      <c r="T454">
        <v>232</v>
      </c>
      <c r="U454">
        <f t="shared" si="85"/>
        <v>0</v>
      </c>
      <c r="V454">
        <v>0.67</v>
      </c>
      <c r="W454">
        <v>34.71</v>
      </c>
      <c r="X454">
        <f t="shared" si="86"/>
        <v>5395.3224</v>
      </c>
      <c r="Y454">
        <f t="shared" si="87"/>
        <v>5395.3224000000009</v>
      </c>
      <c r="Z454">
        <f t="shared" si="88"/>
        <v>1.6857096468839903E-16</v>
      </c>
      <c r="AB454" t="s">
        <v>419</v>
      </c>
      <c r="AE454" t="s">
        <v>420</v>
      </c>
    </row>
    <row r="455" spans="1:31" x14ac:dyDescent="0.25">
      <c r="D455" t="s">
        <v>585</v>
      </c>
      <c r="E455" t="s">
        <v>417</v>
      </c>
      <c r="F455">
        <v>71.88</v>
      </c>
      <c r="G455">
        <v>71.88</v>
      </c>
      <c r="H455">
        <v>1</v>
      </c>
      <c r="I455">
        <f t="shared" si="79"/>
        <v>0</v>
      </c>
      <c r="J455">
        <v>1</v>
      </c>
      <c r="K455">
        <f t="shared" si="80"/>
        <v>71.88</v>
      </c>
      <c r="L455" t="s">
        <v>418</v>
      </c>
      <c r="N455">
        <f t="shared" si="90"/>
        <v>3187.2627071999996</v>
      </c>
      <c r="O455">
        <f t="shared" si="81"/>
        <v>0.45613901599546419</v>
      </c>
      <c r="P455" t="s">
        <v>39</v>
      </c>
      <c r="Q455">
        <f t="shared" si="82"/>
        <v>3.5058430717863107</v>
      </c>
      <c r="R455">
        <f t="shared" si="83"/>
        <v>252</v>
      </c>
      <c r="S455">
        <f t="shared" si="84"/>
        <v>252</v>
      </c>
      <c r="T455">
        <v>252</v>
      </c>
      <c r="U455">
        <f t="shared" si="85"/>
        <v>0</v>
      </c>
      <c r="V455">
        <v>0.67</v>
      </c>
      <c r="W455">
        <v>34.71</v>
      </c>
      <c r="X455">
        <f t="shared" si="86"/>
        <v>5860.4364000000005</v>
      </c>
      <c r="Y455">
        <f t="shared" si="87"/>
        <v>5860.4364000000005</v>
      </c>
      <c r="Z455">
        <f t="shared" si="88"/>
        <v>0</v>
      </c>
      <c r="AB455" t="s">
        <v>419</v>
      </c>
      <c r="AE455" t="s">
        <v>420</v>
      </c>
    </row>
    <row r="456" spans="1:31" x14ac:dyDescent="0.25">
      <c r="D456" t="s">
        <v>586</v>
      </c>
      <c r="E456" t="s">
        <v>417</v>
      </c>
      <c r="F456">
        <v>73.349999999999994</v>
      </c>
      <c r="G456">
        <v>73.349999999999994</v>
      </c>
      <c r="H456">
        <v>1</v>
      </c>
      <c r="I456">
        <f t="shared" si="79"/>
        <v>0</v>
      </c>
      <c r="J456">
        <v>1</v>
      </c>
      <c r="K456">
        <f t="shared" si="80"/>
        <v>73.349999999999994</v>
      </c>
      <c r="L456" t="s">
        <v>418</v>
      </c>
      <c r="N456">
        <f t="shared" si="90"/>
        <v>3252.4446239999997</v>
      </c>
      <c r="O456">
        <f t="shared" si="81"/>
        <v>0.47224224858324454</v>
      </c>
      <c r="P456" t="s">
        <v>39</v>
      </c>
      <c r="Q456">
        <f t="shared" si="82"/>
        <v>3.6128152692569873</v>
      </c>
      <c r="R456">
        <f t="shared" si="83"/>
        <v>265</v>
      </c>
      <c r="S456">
        <f t="shared" si="84"/>
        <v>265</v>
      </c>
      <c r="T456">
        <v>265</v>
      </c>
      <c r="U456">
        <f t="shared" si="85"/>
        <v>0</v>
      </c>
      <c r="V456">
        <v>0.67</v>
      </c>
      <c r="W456">
        <v>34.71</v>
      </c>
      <c r="X456">
        <f t="shared" si="86"/>
        <v>6162.7605000000003</v>
      </c>
      <c r="Y456">
        <f t="shared" si="87"/>
        <v>6162.7605000000003</v>
      </c>
      <c r="Z456">
        <f t="shared" si="88"/>
        <v>0</v>
      </c>
      <c r="AB456" t="s">
        <v>419</v>
      </c>
      <c r="AE456" t="s">
        <v>420</v>
      </c>
    </row>
    <row r="457" spans="1:31" x14ac:dyDescent="0.25">
      <c r="D457" t="s">
        <v>587</v>
      </c>
      <c r="E457" t="s">
        <v>417</v>
      </c>
      <c r="F457">
        <v>74.709999999999994</v>
      </c>
      <c r="G457">
        <v>74.709999999999994</v>
      </c>
      <c r="H457">
        <v>1</v>
      </c>
      <c r="I457">
        <f t="shared" si="79"/>
        <v>0</v>
      </c>
      <c r="J457">
        <v>1</v>
      </c>
      <c r="K457">
        <f t="shared" si="80"/>
        <v>74.709999999999994</v>
      </c>
      <c r="L457" t="s">
        <v>418</v>
      </c>
      <c r="N457">
        <f t="shared" si="90"/>
        <v>3312.7489823999995</v>
      </c>
      <c r="O457">
        <f t="shared" si="81"/>
        <v>0.46245696512139334</v>
      </c>
      <c r="P457" t="s">
        <v>39</v>
      </c>
      <c r="Q457">
        <f t="shared" si="82"/>
        <v>3.5470485878731095</v>
      </c>
      <c r="R457">
        <f t="shared" si="83"/>
        <v>265</v>
      </c>
      <c r="S457">
        <f t="shared" si="84"/>
        <v>265</v>
      </c>
      <c r="T457">
        <v>265</v>
      </c>
      <c r="U457">
        <f t="shared" si="85"/>
        <v>0</v>
      </c>
      <c r="V457">
        <v>0.67</v>
      </c>
      <c r="W457">
        <v>34.71</v>
      </c>
      <c r="X457">
        <f t="shared" si="86"/>
        <v>6162.7605000000003</v>
      </c>
      <c r="Y457">
        <f t="shared" si="87"/>
        <v>6162.7605000000003</v>
      </c>
      <c r="Z457">
        <f t="shared" si="88"/>
        <v>0</v>
      </c>
      <c r="AB457" t="s">
        <v>419</v>
      </c>
      <c r="AE457" t="s">
        <v>420</v>
      </c>
    </row>
    <row r="458" spans="1:31" x14ac:dyDescent="0.25">
      <c r="D458" t="s">
        <v>588</v>
      </c>
      <c r="E458" t="s">
        <v>417</v>
      </c>
      <c r="F458">
        <v>78.290000000000006</v>
      </c>
      <c r="G458">
        <v>78.290000000000006</v>
      </c>
      <c r="H458">
        <v>1</v>
      </c>
      <c r="I458">
        <f t="shared" si="79"/>
        <v>0</v>
      </c>
      <c r="J458">
        <v>1</v>
      </c>
      <c r="K458">
        <f t="shared" si="80"/>
        <v>78.290000000000006</v>
      </c>
      <c r="L458" t="s">
        <v>418</v>
      </c>
      <c r="N458">
        <f t="shared" si="90"/>
        <v>3471.4913376</v>
      </c>
      <c r="O458">
        <f t="shared" si="81"/>
        <v>0.46110159218913749</v>
      </c>
      <c r="P458" t="s">
        <v>39</v>
      </c>
      <c r="Q458">
        <f t="shared" si="82"/>
        <v>3.5381274747732787</v>
      </c>
      <c r="R458">
        <f t="shared" si="83"/>
        <v>277</v>
      </c>
      <c r="S458">
        <f t="shared" si="84"/>
        <v>277</v>
      </c>
      <c r="T458">
        <v>277</v>
      </c>
      <c r="U458">
        <f t="shared" si="85"/>
        <v>0</v>
      </c>
      <c r="V458">
        <v>0.67</v>
      </c>
      <c r="W458">
        <v>34.71</v>
      </c>
      <c r="X458">
        <f t="shared" si="86"/>
        <v>6441.8289000000004</v>
      </c>
      <c r="Y458">
        <f t="shared" si="87"/>
        <v>6441.8289000000004</v>
      </c>
      <c r="Z458">
        <f t="shared" si="88"/>
        <v>0</v>
      </c>
      <c r="AB458" t="s">
        <v>419</v>
      </c>
      <c r="AE458" t="s">
        <v>420</v>
      </c>
    </row>
    <row r="459" spans="1:31" x14ac:dyDescent="0.25">
      <c r="D459" t="s">
        <v>589</v>
      </c>
      <c r="E459" t="s">
        <v>417</v>
      </c>
      <c r="F459">
        <v>101.35</v>
      </c>
      <c r="G459">
        <v>101.35</v>
      </c>
      <c r="H459">
        <v>1</v>
      </c>
      <c r="I459">
        <f t="shared" si="79"/>
        <v>0</v>
      </c>
      <c r="J459">
        <v>1</v>
      </c>
      <c r="K459">
        <f t="shared" si="80"/>
        <v>101.35</v>
      </c>
      <c r="L459" t="s">
        <v>418</v>
      </c>
      <c r="N459">
        <f t="shared" si="90"/>
        <v>4494.0049439999993</v>
      </c>
      <c r="O459">
        <f t="shared" si="81"/>
        <v>0.45256895330458524</v>
      </c>
      <c r="P459" t="s">
        <v>39</v>
      </c>
      <c r="Q459">
        <f t="shared" si="82"/>
        <v>3.4829797730636409</v>
      </c>
      <c r="R459">
        <f t="shared" si="83"/>
        <v>353</v>
      </c>
      <c r="S459">
        <f t="shared" si="84"/>
        <v>353</v>
      </c>
      <c r="T459">
        <v>353</v>
      </c>
      <c r="U459">
        <f t="shared" si="85"/>
        <v>0</v>
      </c>
      <c r="V459">
        <v>0.67</v>
      </c>
      <c r="W459">
        <v>34.71</v>
      </c>
      <c r="X459">
        <f t="shared" si="86"/>
        <v>8209.2621000000017</v>
      </c>
      <c r="Y459">
        <f t="shared" si="87"/>
        <v>8209.2621000000017</v>
      </c>
      <c r="Z459">
        <f t="shared" si="88"/>
        <v>0</v>
      </c>
      <c r="AB459" t="s">
        <v>419</v>
      </c>
      <c r="AE459" t="s">
        <v>420</v>
      </c>
    </row>
    <row r="460" spans="1:31" x14ac:dyDescent="0.25">
      <c r="A460" t="s">
        <v>590</v>
      </c>
      <c r="B460" t="s">
        <v>338</v>
      </c>
      <c r="D460" t="s">
        <v>591</v>
      </c>
      <c r="E460" t="s">
        <v>417</v>
      </c>
      <c r="F460">
        <v>63238</v>
      </c>
      <c r="G460">
        <v>63238</v>
      </c>
      <c r="H460">
        <v>1</v>
      </c>
      <c r="I460">
        <f t="shared" si="79"/>
        <v>0</v>
      </c>
      <c r="J460">
        <v>0.48</v>
      </c>
      <c r="K460">
        <f t="shared" si="80"/>
        <v>30354.239999999998</v>
      </c>
      <c r="L460" t="s">
        <v>37</v>
      </c>
      <c r="N460">
        <f t="shared" ref="N460:N493" si="91">K460*$N$2*$O$2</f>
        <v>9028.5651455999996</v>
      </c>
      <c r="O460">
        <f t="shared" si="81"/>
        <v>4.009386401294978E-2</v>
      </c>
      <c r="P460" t="s">
        <v>39</v>
      </c>
      <c r="Q460">
        <f t="shared" si="82"/>
        <v>0.66104241120845064</v>
      </c>
      <c r="R460">
        <f t="shared" si="83"/>
        <v>41803</v>
      </c>
      <c r="S460">
        <f t="shared" si="84"/>
        <v>41803</v>
      </c>
      <c r="T460">
        <v>41803</v>
      </c>
      <c r="U460">
        <f t="shared" si="85"/>
        <v>0</v>
      </c>
      <c r="V460">
        <v>1</v>
      </c>
      <c r="W460">
        <v>0.22500000000000001</v>
      </c>
      <c r="X460">
        <f t="shared" si="86"/>
        <v>9405.6750000000011</v>
      </c>
      <c r="Y460">
        <f t="shared" si="87"/>
        <v>9405.6750000000011</v>
      </c>
      <c r="Z460">
        <f t="shared" si="88"/>
        <v>0</v>
      </c>
      <c r="AB460" t="s">
        <v>40</v>
      </c>
    </row>
    <row r="461" spans="1:31" x14ac:dyDescent="0.25">
      <c r="A461" t="s">
        <v>590</v>
      </c>
      <c r="B461" t="s">
        <v>339</v>
      </c>
      <c r="D461" t="s">
        <v>592</v>
      </c>
      <c r="E461" t="s">
        <v>417</v>
      </c>
      <c r="F461">
        <v>86095</v>
      </c>
      <c r="G461">
        <v>86095</v>
      </c>
      <c r="H461">
        <v>1</v>
      </c>
      <c r="I461">
        <f t="shared" si="79"/>
        <v>0</v>
      </c>
      <c r="J461">
        <v>0.48</v>
      </c>
      <c r="K461">
        <f t="shared" si="80"/>
        <v>41325.599999999999</v>
      </c>
      <c r="L461" t="s">
        <v>37</v>
      </c>
      <c r="N461">
        <f t="shared" si="91"/>
        <v>12291.886464000001</v>
      </c>
      <c r="O461">
        <f t="shared" si="81"/>
        <v>3.9461863619047535E-2</v>
      </c>
      <c r="P461" t="s">
        <v>39</v>
      </c>
      <c r="Q461">
        <f t="shared" si="82"/>
        <v>0.66060746849410534</v>
      </c>
      <c r="R461">
        <f t="shared" si="83"/>
        <v>56875</v>
      </c>
      <c r="S461">
        <f t="shared" si="84"/>
        <v>56875</v>
      </c>
      <c r="T461">
        <v>56875</v>
      </c>
      <c r="U461">
        <f t="shared" si="85"/>
        <v>0</v>
      </c>
      <c r="V461">
        <v>1</v>
      </c>
      <c r="W461">
        <v>0.22500000000000001</v>
      </c>
      <c r="X461">
        <f t="shared" si="86"/>
        <v>12796.875</v>
      </c>
      <c r="Y461">
        <f t="shared" si="87"/>
        <v>12796.875</v>
      </c>
      <c r="Z461">
        <f t="shared" si="88"/>
        <v>0</v>
      </c>
      <c r="AB461" t="s">
        <v>40</v>
      </c>
    </row>
    <row r="462" spans="1:31" x14ac:dyDescent="0.25">
      <c r="A462" t="s">
        <v>590</v>
      </c>
      <c r="B462" t="s">
        <v>346</v>
      </c>
      <c r="D462" t="s">
        <v>593</v>
      </c>
      <c r="E462" t="s">
        <v>417</v>
      </c>
      <c r="F462">
        <v>102286</v>
      </c>
      <c r="G462">
        <v>102286</v>
      </c>
      <c r="H462">
        <v>1</v>
      </c>
      <c r="I462">
        <f t="shared" ref="I462:I495" si="92">(G462-F462)/F462</f>
        <v>0</v>
      </c>
      <c r="J462">
        <v>0.48</v>
      </c>
      <c r="K462">
        <f t="shared" ref="K462:K495" si="93">F462*H462*J462</f>
        <v>49097.279999999999</v>
      </c>
      <c r="L462" t="s">
        <v>37</v>
      </c>
      <c r="N462">
        <f t="shared" si="91"/>
        <v>14603.494963200003</v>
      </c>
      <c r="O462">
        <f t="shared" ref="O462:O495" si="94">(X462-N462)/X462</f>
        <v>3.833903190501578E-2</v>
      </c>
      <c r="P462" t="s">
        <v>39</v>
      </c>
      <c r="Q462">
        <f t="shared" ref="Q462:Q495" si="95">T462/F462</f>
        <v>0.65983614570909022</v>
      </c>
      <c r="R462">
        <f t="shared" ref="R462:R495" si="96">F462*Q462</f>
        <v>67492</v>
      </c>
      <c r="S462">
        <f t="shared" ref="S462:S495" si="97">G462*Q462</f>
        <v>67492</v>
      </c>
      <c r="T462">
        <v>67492</v>
      </c>
      <c r="U462">
        <f t="shared" ref="U462:U495" si="98">(T462-R462)/R462</f>
        <v>0</v>
      </c>
      <c r="V462">
        <v>1</v>
      </c>
      <c r="W462">
        <v>0.22500000000000001</v>
      </c>
      <c r="X462">
        <f t="shared" ref="X462:X495" si="99">R462*V462*W462</f>
        <v>15185.7</v>
      </c>
      <c r="Y462">
        <f t="shared" ref="Y462:Y495" si="100">S462*W462*V462</f>
        <v>15185.7</v>
      </c>
      <c r="Z462">
        <f t="shared" ref="Z462:Z495" si="101">(Y462-X462)/X462</f>
        <v>0</v>
      </c>
      <c r="AB462" t="s">
        <v>40</v>
      </c>
    </row>
    <row r="463" spans="1:31" x14ac:dyDescent="0.25">
      <c r="A463" t="s">
        <v>590</v>
      </c>
      <c r="B463" t="s">
        <v>340</v>
      </c>
      <c r="D463" t="s">
        <v>594</v>
      </c>
      <c r="E463" t="s">
        <v>417</v>
      </c>
      <c r="F463">
        <v>120571</v>
      </c>
      <c r="G463">
        <v>120571</v>
      </c>
      <c r="H463">
        <v>1</v>
      </c>
      <c r="I463">
        <f t="shared" si="92"/>
        <v>0</v>
      </c>
      <c r="J463">
        <v>0.48</v>
      </c>
      <c r="K463">
        <f t="shared" si="93"/>
        <v>57874.079999999994</v>
      </c>
      <c r="L463" t="s">
        <v>37</v>
      </c>
      <c r="N463">
        <f t="shared" si="91"/>
        <v>17214.066355200001</v>
      </c>
      <c r="O463">
        <f t="shared" si="94"/>
        <v>3.9171105183399141E-2</v>
      </c>
      <c r="P463" t="s">
        <v>39</v>
      </c>
      <c r="Q463">
        <f t="shared" si="95"/>
        <v>0.66040756069038165</v>
      </c>
      <c r="R463">
        <f t="shared" si="96"/>
        <v>79626</v>
      </c>
      <c r="S463">
        <f t="shared" si="97"/>
        <v>79626</v>
      </c>
      <c r="T463">
        <v>79626</v>
      </c>
      <c r="U463">
        <f t="shared" si="98"/>
        <v>0</v>
      </c>
      <c r="V463">
        <v>1</v>
      </c>
      <c r="W463">
        <v>0.22500000000000001</v>
      </c>
      <c r="X463">
        <f t="shared" si="99"/>
        <v>17915.850000000002</v>
      </c>
      <c r="Y463">
        <f t="shared" si="100"/>
        <v>17915.850000000002</v>
      </c>
      <c r="Z463">
        <f t="shared" si="101"/>
        <v>0</v>
      </c>
      <c r="AB463" t="s">
        <v>40</v>
      </c>
    </row>
    <row r="464" spans="1:31" x14ac:dyDescent="0.25">
      <c r="A464" t="s">
        <v>590</v>
      </c>
      <c r="B464" t="s">
        <v>341</v>
      </c>
      <c r="D464" t="s">
        <v>595</v>
      </c>
      <c r="E464" t="s">
        <v>417</v>
      </c>
      <c r="F464">
        <v>145524</v>
      </c>
      <c r="G464">
        <v>145524</v>
      </c>
      <c r="H464">
        <v>1</v>
      </c>
      <c r="I464">
        <f t="shared" si="92"/>
        <v>0</v>
      </c>
      <c r="J464">
        <v>0.48</v>
      </c>
      <c r="K464">
        <f t="shared" si="93"/>
        <v>69851.520000000004</v>
      </c>
      <c r="L464" t="s">
        <v>37</v>
      </c>
      <c r="N464">
        <f t="shared" si="91"/>
        <v>20776.636108800005</v>
      </c>
      <c r="O464">
        <f t="shared" si="94"/>
        <v>4.0258123266884077E-2</v>
      </c>
      <c r="P464" t="s">
        <v>39</v>
      </c>
      <c r="Q464">
        <f t="shared" si="95"/>
        <v>0.6611555482257222</v>
      </c>
      <c r="R464">
        <f t="shared" si="96"/>
        <v>96214</v>
      </c>
      <c r="S464">
        <f t="shared" si="97"/>
        <v>96214</v>
      </c>
      <c r="T464">
        <v>96214</v>
      </c>
      <c r="U464">
        <f t="shared" si="98"/>
        <v>0</v>
      </c>
      <c r="V464">
        <v>1</v>
      </c>
      <c r="W464">
        <v>0.22500000000000001</v>
      </c>
      <c r="X464">
        <f t="shared" si="99"/>
        <v>21648.15</v>
      </c>
      <c r="Y464">
        <f t="shared" si="100"/>
        <v>21648.15</v>
      </c>
      <c r="Z464">
        <f t="shared" si="101"/>
        <v>0</v>
      </c>
      <c r="AB464" t="s">
        <v>40</v>
      </c>
    </row>
    <row r="465" spans="1:28" x14ac:dyDescent="0.25">
      <c r="A465" t="s">
        <v>590</v>
      </c>
      <c r="B465" t="s">
        <v>342</v>
      </c>
      <c r="D465" t="s">
        <v>597</v>
      </c>
      <c r="E465" t="s">
        <v>417</v>
      </c>
      <c r="F465">
        <v>221333</v>
      </c>
      <c r="G465">
        <v>221333</v>
      </c>
      <c r="H465">
        <v>1</v>
      </c>
      <c r="I465">
        <f t="shared" si="92"/>
        <v>0</v>
      </c>
      <c r="J465">
        <v>0.48</v>
      </c>
      <c r="K465">
        <f t="shared" si="93"/>
        <v>106239.84</v>
      </c>
      <c r="L465" t="s">
        <v>37</v>
      </c>
      <c r="N465">
        <f t="shared" si="91"/>
        <v>31599.978009600003</v>
      </c>
      <c r="O465">
        <f t="shared" si="94"/>
        <v>4.0411954786973528E-2</v>
      </c>
      <c r="P465" t="s">
        <v>39</v>
      </c>
      <c r="Q465">
        <f t="shared" si="95"/>
        <v>0.66126153804448495</v>
      </c>
      <c r="R465">
        <f t="shared" si="96"/>
        <v>146359</v>
      </c>
      <c r="S465">
        <f t="shared" si="97"/>
        <v>146359</v>
      </c>
      <c r="T465">
        <v>146359</v>
      </c>
      <c r="U465">
        <f t="shared" si="98"/>
        <v>0</v>
      </c>
      <c r="V465">
        <v>1</v>
      </c>
      <c r="W465">
        <v>0.22500000000000001</v>
      </c>
      <c r="X465">
        <f t="shared" si="99"/>
        <v>32930.775000000001</v>
      </c>
      <c r="Y465">
        <f t="shared" si="100"/>
        <v>32930.775000000001</v>
      </c>
      <c r="Z465">
        <f t="shared" si="101"/>
        <v>0</v>
      </c>
      <c r="AB465" t="s">
        <v>40</v>
      </c>
    </row>
    <row r="466" spans="1:28" x14ac:dyDescent="0.25">
      <c r="A466" t="s">
        <v>599</v>
      </c>
      <c r="B466" t="s">
        <v>359</v>
      </c>
      <c r="D466" t="s">
        <v>600</v>
      </c>
      <c r="E466" t="s">
        <v>417</v>
      </c>
      <c r="F466">
        <v>59810</v>
      </c>
      <c r="G466">
        <v>59810</v>
      </c>
      <c r="H466">
        <v>1</v>
      </c>
      <c r="I466">
        <f t="shared" si="92"/>
        <v>0</v>
      </c>
      <c r="J466">
        <v>0.4</v>
      </c>
      <c r="K466">
        <f t="shared" si="93"/>
        <v>23924</v>
      </c>
      <c r="L466" t="s">
        <v>37</v>
      </c>
      <c r="N466">
        <f t="shared" si="91"/>
        <v>7115.954560000001</v>
      </c>
      <c r="O466">
        <f t="shared" si="94"/>
        <v>8.230668510834474E-2</v>
      </c>
      <c r="P466" t="s">
        <v>39</v>
      </c>
      <c r="Q466">
        <f t="shared" si="95"/>
        <v>0.57620799197458616</v>
      </c>
      <c r="R466">
        <f t="shared" si="96"/>
        <v>34463</v>
      </c>
      <c r="S466">
        <f t="shared" si="97"/>
        <v>34463</v>
      </c>
      <c r="T466">
        <v>34463</v>
      </c>
      <c r="U466">
        <f t="shared" si="98"/>
        <v>0</v>
      </c>
      <c r="V466">
        <v>1</v>
      </c>
      <c r="W466">
        <v>0.22500000000000001</v>
      </c>
      <c r="X466">
        <f t="shared" si="99"/>
        <v>7754.1750000000002</v>
      </c>
      <c r="Y466">
        <f t="shared" si="100"/>
        <v>7754.1750000000002</v>
      </c>
      <c r="Z466">
        <f t="shared" si="101"/>
        <v>0</v>
      </c>
      <c r="AB466" t="s">
        <v>40</v>
      </c>
    </row>
    <row r="467" spans="1:28" x14ac:dyDescent="0.25">
      <c r="A467" t="s">
        <v>599</v>
      </c>
      <c r="B467" t="s">
        <v>360</v>
      </c>
      <c r="D467" t="s">
        <v>601</v>
      </c>
      <c r="E467" t="s">
        <v>417</v>
      </c>
      <c r="F467">
        <v>59810</v>
      </c>
      <c r="G467">
        <v>59810</v>
      </c>
      <c r="H467">
        <v>1</v>
      </c>
      <c r="I467">
        <f t="shared" si="92"/>
        <v>0</v>
      </c>
      <c r="J467">
        <v>0.4</v>
      </c>
      <c r="K467">
        <f t="shared" si="93"/>
        <v>23924</v>
      </c>
      <c r="L467" t="s">
        <v>37</v>
      </c>
      <c r="N467">
        <f t="shared" si="91"/>
        <v>7115.954560000001</v>
      </c>
      <c r="O467">
        <f t="shared" si="94"/>
        <v>8.230668510834474E-2</v>
      </c>
      <c r="P467" t="s">
        <v>39</v>
      </c>
      <c r="Q467">
        <f t="shared" si="95"/>
        <v>0.57620799197458616</v>
      </c>
      <c r="R467">
        <f t="shared" si="96"/>
        <v>34463</v>
      </c>
      <c r="S467">
        <f t="shared" si="97"/>
        <v>34463</v>
      </c>
      <c r="T467">
        <v>34463</v>
      </c>
      <c r="U467">
        <f t="shared" si="98"/>
        <v>0</v>
      </c>
      <c r="V467">
        <v>1</v>
      </c>
      <c r="W467">
        <v>0.22500000000000001</v>
      </c>
      <c r="X467">
        <f t="shared" si="99"/>
        <v>7754.1750000000002</v>
      </c>
      <c r="Y467">
        <f t="shared" si="100"/>
        <v>7754.1750000000002</v>
      </c>
      <c r="Z467">
        <f t="shared" si="101"/>
        <v>0</v>
      </c>
      <c r="AB467" t="s">
        <v>40</v>
      </c>
    </row>
    <row r="468" spans="1:28" x14ac:dyDescent="0.25">
      <c r="A468" t="s">
        <v>599</v>
      </c>
      <c r="B468" t="s">
        <v>361</v>
      </c>
      <c r="D468" t="s">
        <v>602</v>
      </c>
      <c r="E468" t="s">
        <v>417</v>
      </c>
      <c r="F468">
        <v>76381</v>
      </c>
      <c r="G468">
        <v>76381</v>
      </c>
      <c r="H468">
        <v>1</v>
      </c>
      <c r="I468">
        <f t="shared" si="92"/>
        <v>0</v>
      </c>
      <c r="J468">
        <v>0.4</v>
      </c>
      <c r="K468">
        <f t="shared" si="93"/>
        <v>30552.400000000001</v>
      </c>
      <c r="L468" t="s">
        <v>37</v>
      </c>
      <c r="N468">
        <f t="shared" si="91"/>
        <v>9087.5058560000016</v>
      </c>
      <c r="O468">
        <f t="shared" si="94"/>
        <v>8.3569728726729908E-2</v>
      </c>
      <c r="P468" t="s">
        <v>39</v>
      </c>
      <c r="Q468">
        <f t="shared" si="95"/>
        <v>0.57700213403856981</v>
      </c>
      <c r="R468">
        <f t="shared" si="96"/>
        <v>44072</v>
      </c>
      <c r="S468">
        <f t="shared" si="97"/>
        <v>44072</v>
      </c>
      <c r="T468">
        <v>44072</v>
      </c>
      <c r="U468">
        <f t="shared" si="98"/>
        <v>0</v>
      </c>
      <c r="V468">
        <v>1</v>
      </c>
      <c r="W468">
        <v>0.22500000000000001</v>
      </c>
      <c r="X468">
        <f t="shared" si="99"/>
        <v>9916.2000000000007</v>
      </c>
      <c r="Y468">
        <f t="shared" si="100"/>
        <v>9916.2000000000007</v>
      </c>
      <c r="Z468">
        <f t="shared" si="101"/>
        <v>0</v>
      </c>
      <c r="AB468" t="s">
        <v>40</v>
      </c>
    </row>
    <row r="469" spans="1:28" x14ac:dyDescent="0.25">
      <c r="A469" t="s">
        <v>599</v>
      </c>
      <c r="B469" t="s">
        <v>362</v>
      </c>
      <c r="D469" t="s">
        <v>603</v>
      </c>
      <c r="E469" t="s">
        <v>417</v>
      </c>
      <c r="F469">
        <v>76381</v>
      </c>
      <c r="G469">
        <v>76381</v>
      </c>
      <c r="H469">
        <v>1</v>
      </c>
      <c r="I469">
        <f t="shared" si="92"/>
        <v>0</v>
      </c>
      <c r="J469">
        <v>0.4</v>
      </c>
      <c r="K469">
        <f t="shared" si="93"/>
        <v>30552.400000000001</v>
      </c>
      <c r="L469" t="s">
        <v>37</v>
      </c>
      <c r="N469">
        <f t="shared" si="91"/>
        <v>9087.5058560000016</v>
      </c>
      <c r="O469">
        <f t="shared" si="94"/>
        <v>8.3569728726729908E-2</v>
      </c>
      <c r="P469" t="s">
        <v>39</v>
      </c>
      <c r="Q469">
        <f t="shared" si="95"/>
        <v>0.57700213403856981</v>
      </c>
      <c r="R469">
        <f t="shared" si="96"/>
        <v>44072</v>
      </c>
      <c r="S469">
        <f t="shared" si="97"/>
        <v>44072</v>
      </c>
      <c r="T469">
        <v>44072</v>
      </c>
      <c r="U469">
        <f t="shared" si="98"/>
        <v>0</v>
      </c>
      <c r="V469">
        <v>1</v>
      </c>
      <c r="W469">
        <v>0.22500000000000001</v>
      </c>
      <c r="X469">
        <f t="shared" si="99"/>
        <v>9916.2000000000007</v>
      </c>
      <c r="Y469">
        <f t="shared" si="100"/>
        <v>9916.2000000000007</v>
      </c>
      <c r="Z469">
        <f t="shared" si="101"/>
        <v>0</v>
      </c>
      <c r="AB469" t="s">
        <v>40</v>
      </c>
    </row>
    <row r="470" spans="1:28" x14ac:dyDescent="0.25">
      <c r="A470" t="s">
        <v>599</v>
      </c>
      <c r="B470" t="s">
        <v>363</v>
      </c>
      <c r="D470" t="s">
        <v>604</v>
      </c>
      <c r="E470" t="s">
        <v>417</v>
      </c>
      <c r="F470">
        <v>96381</v>
      </c>
      <c r="G470">
        <v>96381</v>
      </c>
      <c r="H470">
        <v>1</v>
      </c>
      <c r="I470">
        <f t="shared" si="92"/>
        <v>0</v>
      </c>
      <c r="J470">
        <v>0.4</v>
      </c>
      <c r="K470">
        <f t="shared" si="93"/>
        <v>38552.400000000001</v>
      </c>
      <c r="L470" t="s">
        <v>37</v>
      </c>
      <c r="N470">
        <f t="shared" si="91"/>
        <v>11467.025856000002</v>
      </c>
      <c r="O470">
        <f t="shared" si="94"/>
        <v>8.4523812466319223E-2</v>
      </c>
      <c r="P470" t="s">
        <v>39</v>
      </c>
      <c r="Q470">
        <f t="shared" si="95"/>
        <v>0.57760346956350317</v>
      </c>
      <c r="R470">
        <f t="shared" si="96"/>
        <v>55670</v>
      </c>
      <c r="S470">
        <f t="shared" si="97"/>
        <v>55670</v>
      </c>
      <c r="T470">
        <v>55670</v>
      </c>
      <c r="U470">
        <f t="shared" si="98"/>
        <v>0</v>
      </c>
      <c r="V470">
        <v>1</v>
      </c>
      <c r="W470">
        <v>0.22500000000000001</v>
      </c>
      <c r="X470">
        <f t="shared" si="99"/>
        <v>12525.75</v>
      </c>
      <c r="Y470">
        <f t="shared" si="100"/>
        <v>12525.75</v>
      </c>
      <c r="Z470">
        <f t="shared" si="101"/>
        <v>0</v>
      </c>
      <c r="AB470" t="s">
        <v>40</v>
      </c>
    </row>
    <row r="471" spans="1:28" x14ac:dyDescent="0.25">
      <c r="A471" t="s">
        <v>599</v>
      </c>
      <c r="B471" t="s">
        <v>364</v>
      </c>
      <c r="D471" t="s">
        <v>605</v>
      </c>
      <c r="E471" t="s">
        <v>417</v>
      </c>
      <c r="F471">
        <v>96381</v>
      </c>
      <c r="G471">
        <v>96381</v>
      </c>
      <c r="H471">
        <v>1</v>
      </c>
      <c r="I471">
        <f t="shared" si="92"/>
        <v>0</v>
      </c>
      <c r="J471">
        <v>0.4</v>
      </c>
      <c r="K471">
        <f t="shared" si="93"/>
        <v>38552.400000000001</v>
      </c>
      <c r="L471" t="s">
        <v>37</v>
      </c>
      <c r="N471">
        <f t="shared" si="91"/>
        <v>11467.025856000002</v>
      </c>
      <c r="O471">
        <f t="shared" si="94"/>
        <v>8.4523812466319223E-2</v>
      </c>
      <c r="P471" t="s">
        <v>39</v>
      </c>
      <c r="Q471">
        <f t="shared" si="95"/>
        <v>0.57760346956350317</v>
      </c>
      <c r="R471">
        <f t="shared" si="96"/>
        <v>55670</v>
      </c>
      <c r="S471">
        <f t="shared" si="97"/>
        <v>55670</v>
      </c>
      <c r="T471">
        <v>55670</v>
      </c>
      <c r="U471">
        <f t="shared" si="98"/>
        <v>0</v>
      </c>
      <c r="V471">
        <v>1</v>
      </c>
      <c r="W471">
        <v>0.22500000000000001</v>
      </c>
      <c r="X471">
        <f t="shared" si="99"/>
        <v>12525.75</v>
      </c>
      <c r="Y471">
        <f t="shared" si="100"/>
        <v>12525.75</v>
      </c>
      <c r="Z471">
        <f t="shared" si="101"/>
        <v>0</v>
      </c>
      <c r="AB471" t="s">
        <v>40</v>
      </c>
    </row>
    <row r="472" spans="1:28" x14ac:dyDescent="0.25">
      <c r="A472" t="s">
        <v>599</v>
      </c>
      <c r="B472" t="s">
        <v>365</v>
      </c>
      <c r="D472" t="s">
        <v>606</v>
      </c>
      <c r="E472" t="s">
        <v>417</v>
      </c>
      <c r="F472">
        <v>111810</v>
      </c>
      <c r="G472">
        <v>111810</v>
      </c>
      <c r="H472">
        <v>1</v>
      </c>
      <c r="I472">
        <f t="shared" si="92"/>
        <v>0</v>
      </c>
      <c r="J472">
        <v>0.4</v>
      </c>
      <c r="K472">
        <f t="shared" si="93"/>
        <v>44724</v>
      </c>
      <c r="L472" t="s">
        <v>37</v>
      </c>
      <c r="N472">
        <f t="shared" si="91"/>
        <v>13302.706560000002</v>
      </c>
      <c r="O472">
        <f t="shared" si="94"/>
        <v>8.3859297022287602E-2</v>
      </c>
      <c r="P472" t="s">
        <v>39</v>
      </c>
      <c r="Q472">
        <f t="shared" si="95"/>
        <v>0.57718450943564981</v>
      </c>
      <c r="R472">
        <f t="shared" si="96"/>
        <v>64535.000000000007</v>
      </c>
      <c r="S472">
        <f t="shared" si="97"/>
        <v>64535.000000000007</v>
      </c>
      <c r="T472">
        <v>64535</v>
      </c>
      <c r="U472">
        <f t="shared" si="98"/>
        <v>-1.1274436529299488E-16</v>
      </c>
      <c r="V472">
        <v>1</v>
      </c>
      <c r="W472">
        <v>0.22500000000000001</v>
      </c>
      <c r="X472">
        <f t="shared" si="99"/>
        <v>14520.375000000002</v>
      </c>
      <c r="Y472">
        <f t="shared" si="100"/>
        <v>14520.375000000002</v>
      </c>
      <c r="Z472">
        <f t="shared" si="101"/>
        <v>0</v>
      </c>
      <c r="AB472" t="s">
        <v>40</v>
      </c>
    </row>
    <row r="473" spans="1:28" x14ac:dyDescent="0.25">
      <c r="A473" t="s">
        <v>599</v>
      </c>
      <c r="B473" t="s">
        <v>366</v>
      </c>
      <c r="D473" t="s">
        <v>607</v>
      </c>
      <c r="E473" t="s">
        <v>417</v>
      </c>
      <c r="F473">
        <v>111810</v>
      </c>
      <c r="G473">
        <v>111810</v>
      </c>
      <c r="H473">
        <v>1</v>
      </c>
      <c r="I473">
        <f t="shared" si="92"/>
        <v>0</v>
      </c>
      <c r="J473">
        <v>0.4</v>
      </c>
      <c r="K473">
        <f t="shared" si="93"/>
        <v>44724</v>
      </c>
      <c r="L473" t="s">
        <v>37</v>
      </c>
      <c r="N473">
        <f t="shared" si="91"/>
        <v>13302.706560000002</v>
      </c>
      <c r="O473">
        <f t="shared" si="94"/>
        <v>8.3859297022287602E-2</v>
      </c>
      <c r="P473" t="s">
        <v>39</v>
      </c>
      <c r="Q473">
        <f t="shared" si="95"/>
        <v>0.57718450943564981</v>
      </c>
      <c r="R473">
        <f t="shared" si="96"/>
        <v>64535.000000000007</v>
      </c>
      <c r="S473">
        <f t="shared" si="97"/>
        <v>64535.000000000007</v>
      </c>
      <c r="T473">
        <v>64535</v>
      </c>
      <c r="U473">
        <f t="shared" si="98"/>
        <v>-1.1274436529299488E-16</v>
      </c>
      <c r="V473">
        <v>1</v>
      </c>
      <c r="W473">
        <v>0.22500000000000001</v>
      </c>
      <c r="X473">
        <f t="shared" si="99"/>
        <v>14520.375000000002</v>
      </c>
      <c r="Y473">
        <f t="shared" si="100"/>
        <v>14520.375000000002</v>
      </c>
      <c r="Z473">
        <f t="shared" si="101"/>
        <v>0</v>
      </c>
      <c r="AB473" t="s">
        <v>40</v>
      </c>
    </row>
    <row r="474" spans="1:28" x14ac:dyDescent="0.25">
      <c r="A474" t="s">
        <v>599</v>
      </c>
      <c r="B474" t="s">
        <v>608</v>
      </c>
      <c r="D474" t="s">
        <v>609</v>
      </c>
      <c r="E474" t="s">
        <v>417</v>
      </c>
      <c r="F474">
        <v>114476</v>
      </c>
      <c r="G474">
        <v>114476</v>
      </c>
      <c r="H474">
        <v>1</v>
      </c>
      <c r="I474">
        <f t="shared" si="92"/>
        <v>0</v>
      </c>
      <c r="J474">
        <v>0.4</v>
      </c>
      <c r="K474">
        <f t="shared" si="93"/>
        <v>45790.400000000001</v>
      </c>
      <c r="L474" t="s">
        <v>37</v>
      </c>
      <c r="N474">
        <f t="shared" si="91"/>
        <v>13619.896576000003</v>
      </c>
      <c r="O474">
        <f t="shared" si="94"/>
        <v>8.4347461448348565E-2</v>
      </c>
      <c r="P474" t="s">
        <v>39</v>
      </c>
      <c r="Q474">
        <f t="shared" si="95"/>
        <v>0.57749222544463463</v>
      </c>
      <c r="R474">
        <f t="shared" si="96"/>
        <v>66109</v>
      </c>
      <c r="S474">
        <f t="shared" si="97"/>
        <v>66109</v>
      </c>
      <c r="T474">
        <v>66109</v>
      </c>
      <c r="U474">
        <f t="shared" si="98"/>
        <v>0</v>
      </c>
      <c r="V474">
        <v>1</v>
      </c>
      <c r="W474">
        <v>0.22500000000000001</v>
      </c>
      <c r="X474">
        <f t="shared" si="99"/>
        <v>14874.525</v>
      </c>
      <c r="Y474">
        <f t="shared" si="100"/>
        <v>14874.525</v>
      </c>
      <c r="Z474">
        <f t="shared" si="101"/>
        <v>0</v>
      </c>
      <c r="AB474" t="s">
        <v>40</v>
      </c>
    </row>
    <row r="475" spans="1:28" x14ac:dyDescent="0.25">
      <c r="A475" t="s">
        <v>599</v>
      </c>
      <c r="B475" t="s">
        <v>610</v>
      </c>
      <c r="D475" t="s">
        <v>611</v>
      </c>
      <c r="E475" t="s">
        <v>417</v>
      </c>
      <c r="F475">
        <v>114476</v>
      </c>
      <c r="G475">
        <v>114476</v>
      </c>
      <c r="H475">
        <v>1</v>
      </c>
      <c r="I475">
        <f t="shared" si="92"/>
        <v>0</v>
      </c>
      <c r="J475">
        <v>0.4</v>
      </c>
      <c r="K475">
        <f t="shared" si="93"/>
        <v>45790.400000000001</v>
      </c>
      <c r="L475" t="s">
        <v>37</v>
      </c>
      <c r="N475">
        <f t="shared" si="91"/>
        <v>13619.896576000003</v>
      </c>
      <c r="O475">
        <f t="shared" si="94"/>
        <v>8.4347461448348565E-2</v>
      </c>
      <c r="P475" t="s">
        <v>39</v>
      </c>
      <c r="Q475">
        <f t="shared" si="95"/>
        <v>0.57749222544463463</v>
      </c>
      <c r="R475">
        <f t="shared" si="96"/>
        <v>66109</v>
      </c>
      <c r="S475">
        <f t="shared" si="97"/>
        <v>66109</v>
      </c>
      <c r="T475">
        <v>66109</v>
      </c>
      <c r="U475">
        <f t="shared" si="98"/>
        <v>0</v>
      </c>
      <c r="V475">
        <v>1</v>
      </c>
      <c r="W475">
        <v>0.22500000000000001</v>
      </c>
      <c r="X475">
        <f t="shared" si="99"/>
        <v>14874.525</v>
      </c>
      <c r="Y475">
        <f t="shared" si="100"/>
        <v>14874.525</v>
      </c>
      <c r="Z475">
        <f t="shared" si="101"/>
        <v>0</v>
      </c>
      <c r="AB475" t="s">
        <v>40</v>
      </c>
    </row>
    <row r="476" spans="1:28" x14ac:dyDescent="0.25">
      <c r="A476" t="s">
        <v>599</v>
      </c>
      <c r="B476" t="s">
        <v>367</v>
      </c>
      <c r="D476" t="s">
        <v>612</v>
      </c>
      <c r="E476" t="s">
        <v>417</v>
      </c>
      <c r="F476">
        <v>147238</v>
      </c>
      <c r="G476">
        <v>147238</v>
      </c>
      <c r="H476">
        <v>1</v>
      </c>
      <c r="I476">
        <f t="shared" si="92"/>
        <v>0</v>
      </c>
      <c r="J476">
        <v>0.4</v>
      </c>
      <c r="K476">
        <f t="shared" si="93"/>
        <v>58895.200000000004</v>
      </c>
      <c r="L476" t="s">
        <v>37</v>
      </c>
      <c r="N476">
        <f t="shared" si="91"/>
        <v>17517.788288000003</v>
      </c>
      <c r="O476">
        <f t="shared" si="94"/>
        <v>8.4898485712793015E-2</v>
      </c>
      <c r="P476" t="s">
        <v>39</v>
      </c>
      <c r="Q476">
        <f t="shared" si="95"/>
        <v>0.57783995979298819</v>
      </c>
      <c r="R476">
        <f t="shared" si="96"/>
        <v>85080</v>
      </c>
      <c r="S476">
        <f t="shared" si="97"/>
        <v>85080</v>
      </c>
      <c r="T476">
        <v>85080</v>
      </c>
      <c r="U476">
        <f t="shared" si="98"/>
        <v>0</v>
      </c>
      <c r="V476">
        <v>1</v>
      </c>
      <c r="W476">
        <v>0.22500000000000001</v>
      </c>
      <c r="X476">
        <f t="shared" si="99"/>
        <v>19143</v>
      </c>
      <c r="Y476">
        <f t="shared" si="100"/>
        <v>19143</v>
      </c>
      <c r="Z476">
        <f t="shared" si="101"/>
        <v>0</v>
      </c>
      <c r="AB476" t="s">
        <v>40</v>
      </c>
    </row>
    <row r="477" spans="1:28" x14ac:dyDescent="0.25">
      <c r="A477" t="s">
        <v>599</v>
      </c>
      <c r="B477" t="s">
        <v>368</v>
      </c>
      <c r="D477" t="s">
        <v>613</v>
      </c>
      <c r="E477" t="s">
        <v>417</v>
      </c>
      <c r="F477">
        <v>147238</v>
      </c>
      <c r="G477">
        <v>147238</v>
      </c>
      <c r="H477">
        <v>1</v>
      </c>
      <c r="I477">
        <f t="shared" si="92"/>
        <v>0</v>
      </c>
      <c r="J477">
        <v>0.4</v>
      </c>
      <c r="K477">
        <f t="shared" si="93"/>
        <v>58895.200000000004</v>
      </c>
      <c r="L477" t="s">
        <v>37</v>
      </c>
      <c r="N477">
        <f t="shared" si="91"/>
        <v>17517.788288000003</v>
      </c>
      <c r="O477">
        <f t="shared" si="94"/>
        <v>8.4898485712793015E-2</v>
      </c>
      <c r="P477" t="s">
        <v>39</v>
      </c>
      <c r="Q477">
        <f t="shared" si="95"/>
        <v>0.57783995979298819</v>
      </c>
      <c r="R477">
        <f t="shared" si="96"/>
        <v>85080</v>
      </c>
      <c r="S477">
        <f t="shared" si="97"/>
        <v>85080</v>
      </c>
      <c r="T477">
        <v>85080</v>
      </c>
      <c r="U477">
        <f t="shared" si="98"/>
        <v>0</v>
      </c>
      <c r="V477">
        <v>1</v>
      </c>
      <c r="W477">
        <v>0.22500000000000001</v>
      </c>
      <c r="X477">
        <f t="shared" si="99"/>
        <v>19143</v>
      </c>
      <c r="Y477">
        <f t="shared" si="100"/>
        <v>19143</v>
      </c>
      <c r="Z477">
        <f t="shared" si="101"/>
        <v>0</v>
      </c>
      <c r="AB477" t="s">
        <v>40</v>
      </c>
    </row>
    <row r="478" spans="1:28" x14ac:dyDescent="0.25">
      <c r="A478" t="s">
        <v>599</v>
      </c>
      <c r="B478" t="s">
        <v>369</v>
      </c>
      <c r="D478" t="s">
        <v>614</v>
      </c>
      <c r="E478" t="s">
        <v>417</v>
      </c>
      <c r="F478">
        <v>228952</v>
      </c>
      <c r="G478">
        <v>228952</v>
      </c>
      <c r="H478">
        <v>1</v>
      </c>
      <c r="I478">
        <f t="shared" si="92"/>
        <v>0</v>
      </c>
      <c r="J478">
        <v>0.4</v>
      </c>
      <c r="K478">
        <f t="shared" si="93"/>
        <v>91580.800000000003</v>
      </c>
      <c r="L478" t="s">
        <v>37</v>
      </c>
      <c r="N478">
        <f t="shared" si="91"/>
        <v>27239.793152000006</v>
      </c>
      <c r="O478">
        <f t="shared" si="94"/>
        <v>8.4340536071592573E-2</v>
      </c>
      <c r="P478" t="s">
        <v>39</v>
      </c>
      <c r="Q478">
        <f t="shared" si="95"/>
        <v>0.57748785771690136</v>
      </c>
      <c r="R478">
        <f t="shared" si="96"/>
        <v>132217</v>
      </c>
      <c r="S478">
        <f t="shared" si="97"/>
        <v>132217</v>
      </c>
      <c r="T478">
        <v>132217</v>
      </c>
      <c r="U478">
        <f t="shared" si="98"/>
        <v>0</v>
      </c>
      <c r="V478">
        <v>1</v>
      </c>
      <c r="W478">
        <v>0.22500000000000001</v>
      </c>
      <c r="X478">
        <f t="shared" si="99"/>
        <v>29748.825000000001</v>
      </c>
      <c r="Y478">
        <f t="shared" si="100"/>
        <v>29748.825000000001</v>
      </c>
      <c r="Z478">
        <f t="shared" si="101"/>
        <v>0</v>
      </c>
      <c r="AB478" t="s">
        <v>40</v>
      </c>
    </row>
    <row r="479" spans="1:28" x14ac:dyDescent="0.25">
      <c r="A479" t="s">
        <v>599</v>
      </c>
      <c r="B479" t="s">
        <v>370</v>
      </c>
      <c r="D479" t="s">
        <v>615</v>
      </c>
      <c r="E479" t="s">
        <v>417</v>
      </c>
      <c r="F479">
        <v>228952</v>
      </c>
      <c r="G479">
        <v>228952</v>
      </c>
      <c r="H479">
        <v>1</v>
      </c>
      <c r="I479">
        <f t="shared" si="92"/>
        <v>0</v>
      </c>
      <c r="J479">
        <v>0.4</v>
      </c>
      <c r="K479">
        <f t="shared" si="93"/>
        <v>91580.800000000003</v>
      </c>
      <c r="L479" t="s">
        <v>37</v>
      </c>
      <c r="N479">
        <f t="shared" si="91"/>
        <v>27239.793152000006</v>
      </c>
      <c r="O479">
        <f t="shared" si="94"/>
        <v>8.4340536071592573E-2</v>
      </c>
      <c r="P479" t="s">
        <v>39</v>
      </c>
      <c r="Q479">
        <f t="shared" si="95"/>
        <v>0.57748785771690136</v>
      </c>
      <c r="R479">
        <f t="shared" si="96"/>
        <v>132217</v>
      </c>
      <c r="S479">
        <f t="shared" si="97"/>
        <v>132217</v>
      </c>
      <c r="T479">
        <v>132217</v>
      </c>
      <c r="U479">
        <f t="shared" si="98"/>
        <v>0</v>
      </c>
      <c r="V479">
        <v>1</v>
      </c>
      <c r="W479">
        <v>0.22500000000000001</v>
      </c>
      <c r="X479">
        <f t="shared" si="99"/>
        <v>29748.825000000001</v>
      </c>
      <c r="Y479">
        <f t="shared" si="100"/>
        <v>29748.825000000001</v>
      </c>
      <c r="Z479">
        <f t="shared" si="101"/>
        <v>0</v>
      </c>
      <c r="AB479" t="s">
        <v>40</v>
      </c>
    </row>
    <row r="480" spans="1:28" x14ac:dyDescent="0.25">
      <c r="A480" t="s">
        <v>616</v>
      </c>
      <c r="B480" t="s">
        <v>347</v>
      </c>
      <c r="D480" t="s">
        <v>617</v>
      </c>
      <c r="E480" t="s">
        <v>417</v>
      </c>
      <c r="F480">
        <v>16095</v>
      </c>
      <c r="G480">
        <v>16095</v>
      </c>
      <c r="H480">
        <v>1</v>
      </c>
      <c r="I480">
        <f t="shared" si="92"/>
        <v>0</v>
      </c>
      <c r="J480">
        <v>0.43</v>
      </c>
      <c r="K480">
        <f t="shared" si="93"/>
        <v>6920.8499999999995</v>
      </c>
      <c r="L480" t="s">
        <v>37</v>
      </c>
      <c r="N480">
        <f t="shared" si="91"/>
        <v>2058.5376240000001</v>
      </c>
      <c r="O480">
        <f t="shared" si="94"/>
        <v>3.7346790123456805E-2</v>
      </c>
      <c r="P480" t="s">
        <v>39</v>
      </c>
      <c r="Q480">
        <f t="shared" si="95"/>
        <v>0.59049394221808016</v>
      </c>
      <c r="R480">
        <f t="shared" si="96"/>
        <v>9504</v>
      </c>
      <c r="S480">
        <f t="shared" si="97"/>
        <v>9504</v>
      </c>
      <c r="T480">
        <v>9504</v>
      </c>
      <c r="U480">
        <f t="shared" si="98"/>
        <v>0</v>
      </c>
      <c r="V480">
        <v>1</v>
      </c>
      <c r="W480">
        <v>0.22500000000000001</v>
      </c>
      <c r="X480">
        <f t="shared" si="99"/>
        <v>2138.4</v>
      </c>
      <c r="Y480">
        <f t="shared" si="100"/>
        <v>2138.4</v>
      </c>
      <c r="Z480">
        <f t="shared" si="101"/>
        <v>0</v>
      </c>
      <c r="AB480" t="s">
        <v>40</v>
      </c>
    </row>
    <row r="481" spans="1:28" x14ac:dyDescent="0.25">
      <c r="A481" t="s">
        <v>616</v>
      </c>
      <c r="B481" t="s">
        <v>348</v>
      </c>
      <c r="D481" t="s">
        <v>618</v>
      </c>
      <c r="E481" t="s">
        <v>417</v>
      </c>
      <c r="F481">
        <v>17219</v>
      </c>
      <c r="G481">
        <v>17219</v>
      </c>
      <c r="H481">
        <v>1</v>
      </c>
      <c r="I481">
        <f t="shared" si="92"/>
        <v>0</v>
      </c>
      <c r="J481">
        <v>0.43</v>
      </c>
      <c r="K481">
        <f t="shared" si="93"/>
        <v>7404.17</v>
      </c>
      <c r="L481" t="s">
        <v>37</v>
      </c>
      <c r="N481">
        <f t="shared" si="91"/>
        <v>2202.2963248000005</v>
      </c>
      <c r="O481">
        <f t="shared" si="94"/>
        <v>3.6520950312257126E-2</v>
      </c>
      <c r="P481" t="s">
        <v>39</v>
      </c>
      <c r="Q481">
        <f t="shared" si="95"/>
        <v>0.58998780416981245</v>
      </c>
      <c r="R481">
        <f t="shared" si="96"/>
        <v>10159</v>
      </c>
      <c r="S481">
        <f t="shared" si="97"/>
        <v>10159</v>
      </c>
      <c r="T481">
        <v>10159</v>
      </c>
      <c r="U481">
        <f t="shared" si="98"/>
        <v>0</v>
      </c>
      <c r="V481">
        <v>1</v>
      </c>
      <c r="W481">
        <v>0.22500000000000001</v>
      </c>
      <c r="X481">
        <f t="shared" si="99"/>
        <v>2285.7750000000001</v>
      </c>
      <c r="Y481">
        <f t="shared" si="100"/>
        <v>2285.7750000000001</v>
      </c>
      <c r="Z481">
        <f t="shared" si="101"/>
        <v>0</v>
      </c>
      <c r="AB481" t="s">
        <v>40</v>
      </c>
    </row>
    <row r="482" spans="1:28" x14ac:dyDescent="0.25">
      <c r="A482" t="s">
        <v>616</v>
      </c>
      <c r="B482" t="s">
        <v>349</v>
      </c>
      <c r="D482" t="s">
        <v>619</v>
      </c>
      <c r="E482" t="s">
        <v>417</v>
      </c>
      <c r="F482">
        <v>19810</v>
      </c>
      <c r="G482">
        <v>19810</v>
      </c>
      <c r="H482">
        <v>1</v>
      </c>
      <c r="I482">
        <f t="shared" si="92"/>
        <v>0</v>
      </c>
      <c r="J482">
        <v>0.43</v>
      </c>
      <c r="K482">
        <f t="shared" si="93"/>
        <v>8518.2999999999993</v>
      </c>
      <c r="L482" t="s">
        <v>37</v>
      </c>
      <c r="N482">
        <f t="shared" si="91"/>
        <v>2533.6831520000001</v>
      </c>
      <c r="O482">
        <f t="shared" si="94"/>
        <v>3.2077186789677775E-2</v>
      </c>
      <c r="P482" t="s">
        <v>39</v>
      </c>
      <c r="Q482">
        <f t="shared" si="95"/>
        <v>0.58727915194346292</v>
      </c>
      <c r="R482">
        <f t="shared" si="96"/>
        <v>11634</v>
      </c>
      <c r="S482">
        <f t="shared" si="97"/>
        <v>11634</v>
      </c>
      <c r="T482">
        <v>11634</v>
      </c>
      <c r="U482">
        <f t="shared" si="98"/>
        <v>0</v>
      </c>
      <c r="V482">
        <v>1</v>
      </c>
      <c r="W482">
        <v>0.22500000000000001</v>
      </c>
      <c r="X482">
        <f t="shared" si="99"/>
        <v>2617.65</v>
      </c>
      <c r="Y482">
        <f t="shared" si="100"/>
        <v>2617.65</v>
      </c>
      <c r="Z482">
        <f t="shared" si="101"/>
        <v>0</v>
      </c>
      <c r="AB482" t="s">
        <v>40</v>
      </c>
    </row>
    <row r="483" spans="1:28" x14ac:dyDescent="0.25">
      <c r="A483" t="s">
        <v>616</v>
      </c>
      <c r="B483" t="s">
        <v>350</v>
      </c>
      <c r="D483" t="s">
        <v>620</v>
      </c>
      <c r="E483" t="s">
        <v>417</v>
      </c>
      <c r="F483">
        <v>21333</v>
      </c>
      <c r="G483">
        <v>21333</v>
      </c>
      <c r="H483">
        <v>1</v>
      </c>
      <c r="I483">
        <f t="shared" si="92"/>
        <v>0</v>
      </c>
      <c r="J483">
        <v>0.43</v>
      </c>
      <c r="K483">
        <f t="shared" si="93"/>
        <v>9173.19</v>
      </c>
      <c r="L483" t="s">
        <v>37</v>
      </c>
      <c r="N483">
        <f t="shared" si="91"/>
        <v>2728.473633600001</v>
      </c>
      <c r="O483">
        <f t="shared" si="94"/>
        <v>3.8872197616971554E-2</v>
      </c>
      <c r="P483" t="s">
        <v>39</v>
      </c>
      <c r="Q483">
        <f t="shared" si="95"/>
        <v>0.59143111611118926</v>
      </c>
      <c r="R483">
        <f t="shared" si="96"/>
        <v>12617</v>
      </c>
      <c r="S483">
        <f t="shared" si="97"/>
        <v>12617</v>
      </c>
      <c r="T483">
        <v>12617</v>
      </c>
      <c r="U483">
        <f t="shared" si="98"/>
        <v>0</v>
      </c>
      <c r="V483">
        <v>1</v>
      </c>
      <c r="W483">
        <v>0.22500000000000001</v>
      </c>
      <c r="X483">
        <f t="shared" si="99"/>
        <v>2838.8250000000003</v>
      </c>
      <c r="Y483">
        <f t="shared" si="100"/>
        <v>2838.8250000000003</v>
      </c>
      <c r="Z483">
        <f t="shared" si="101"/>
        <v>0</v>
      </c>
      <c r="AB483" t="s">
        <v>40</v>
      </c>
    </row>
    <row r="484" spans="1:28" x14ac:dyDescent="0.25">
      <c r="A484" t="s">
        <v>616</v>
      </c>
      <c r="B484" t="s">
        <v>351</v>
      </c>
      <c r="D484" t="s">
        <v>621</v>
      </c>
      <c r="E484" t="s">
        <v>417</v>
      </c>
      <c r="F484">
        <v>23619</v>
      </c>
      <c r="G484">
        <v>23619</v>
      </c>
      <c r="H484">
        <v>1</v>
      </c>
      <c r="I484">
        <f t="shared" si="92"/>
        <v>0</v>
      </c>
      <c r="J484">
        <v>0.43</v>
      </c>
      <c r="K484">
        <f t="shared" si="93"/>
        <v>10156.17</v>
      </c>
      <c r="L484" t="s">
        <v>37</v>
      </c>
      <c r="N484">
        <f t="shared" si="91"/>
        <v>3020.8512048000007</v>
      </c>
      <c r="O484">
        <f t="shared" si="94"/>
        <v>4.1684128860337774E-2</v>
      </c>
      <c r="P484" t="s">
        <v>39</v>
      </c>
      <c r="Q484">
        <f t="shared" si="95"/>
        <v>0.59316651848088409</v>
      </c>
      <c r="R484">
        <f t="shared" si="96"/>
        <v>14010.000000000002</v>
      </c>
      <c r="S484">
        <f t="shared" si="97"/>
        <v>14010.000000000002</v>
      </c>
      <c r="T484">
        <v>14010</v>
      </c>
      <c r="U484">
        <f t="shared" si="98"/>
        <v>-1.2983507519956148E-16</v>
      </c>
      <c r="V484">
        <v>1</v>
      </c>
      <c r="W484">
        <v>0.22500000000000001</v>
      </c>
      <c r="X484">
        <f t="shared" si="99"/>
        <v>3152.2500000000005</v>
      </c>
      <c r="Y484">
        <f t="shared" si="100"/>
        <v>3152.2500000000005</v>
      </c>
      <c r="Z484">
        <f t="shared" si="101"/>
        <v>0</v>
      </c>
      <c r="AB484" t="s">
        <v>40</v>
      </c>
    </row>
    <row r="485" spans="1:28" x14ac:dyDescent="0.25">
      <c r="A485" t="s">
        <v>616</v>
      </c>
      <c r="B485" t="s">
        <v>352</v>
      </c>
      <c r="D485" t="s">
        <v>622</v>
      </c>
      <c r="E485" t="s">
        <v>417</v>
      </c>
      <c r="F485">
        <v>27810</v>
      </c>
      <c r="G485">
        <v>27810</v>
      </c>
      <c r="H485">
        <v>1</v>
      </c>
      <c r="I485">
        <f t="shared" si="92"/>
        <v>0</v>
      </c>
      <c r="J485">
        <v>0.43</v>
      </c>
      <c r="K485">
        <f t="shared" si="93"/>
        <v>11958.3</v>
      </c>
      <c r="L485" t="s">
        <v>37</v>
      </c>
      <c r="N485">
        <f t="shared" si="91"/>
        <v>3556.8767520000001</v>
      </c>
      <c r="O485">
        <f t="shared" si="94"/>
        <v>3.5253196631270536E-2</v>
      </c>
      <c r="P485" t="s">
        <v>39</v>
      </c>
      <c r="Q485">
        <f t="shared" si="95"/>
        <v>0.5892125134843581</v>
      </c>
      <c r="R485">
        <f t="shared" si="96"/>
        <v>16386</v>
      </c>
      <c r="S485">
        <f t="shared" si="97"/>
        <v>16386</v>
      </c>
      <c r="T485">
        <v>16386</v>
      </c>
      <c r="U485">
        <f t="shared" si="98"/>
        <v>0</v>
      </c>
      <c r="V485">
        <v>1</v>
      </c>
      <c r="W485">
        <v>0.22500000000000001</v>
      </c>
      <c r="X485">
        <f t="shared" si="99"/>
        <v>3686.85</v>
      </c>
      <c r="Y485">
        <f t="shared" si="100"/>
        <v>3686.85</v>
      </c>
      <c r="Z485">
        <f t="shared" si="101"/>
        <v>0</v>
      </c>
      <c r="AB485" t="s">
        <v>40</v>
      </c>
    </row>
    <row r="486" spans="1:28" x14ac:dyDescent="0.25">
      <c r="A486" t="s">
        <v>616</v>
      </c>
      <c r="B486" t="s">
        <v>353</v>
      </c>
      <c r="D486" t="s">
        <v>623</v>
      </c>
      <c r="E486" t="s">
        <v>417</v>
      </c>
      <c r="F486">
        <v>32000</v>
      </c>
      <c r="G486">
        <v>32000</v>
      </c>
      <c r="H486">
        <v>1</v>
      </c>
      <c r="I486">
        <f t="shared" si="92"/>
        <v>0</v>
      </c>
      <c r="J486">
        <v>0.43</v>
      </c>
      <c r="K486">
        <f t="shared" si="93"/>
        <v>13760</v>
      </c>
      <c r="L486" t="s">
        <v>37</v>
      </c>
      <c r="N486">
        <f t="shared" si="91"/>
        <v>4092.7744000000007</v>
      </c>
      <c r="O486">
        <f t="shared" si="94"/>
        <v>3.4700252364442519E-2</v>
      </c>
      <c r="P486" t="s">
        <v>39</v>
      </c>
      <c r="Q486">
        <f t="shared" si="95"/>
        <v>0.58887500000000004</v>
      </c>
      <c r="R486">
        <f t="shared" si="96"/>
        <v>18844</v>
      </c>
      <c r="S486">
        <f t="shared" si="97"/>
        <v>18844</v>
      </c>
      <c r="T486">
        <v>18844</v>
      </c>
      <c r="U486">
        <f t="shared" si="98"/>
        <v>0</v>
      </c>
      <c r="V486">
        <v>1</v>
      </c>
      <c r="W486">
        <v>0.22500000000000001</v>
      </c>
      <c r="X486">
        <f t="shared" si="99"/>
        <v>4239.9000000000005</v>
      </c>
      <c r="Y486">
        <f t="shared" si="100"/>
        <v>4239.9000000000005</v>
      </c>
      <c r="Z486">
        <f t="shared" si="101"/>
        <v>0</v>
      </c>
      <c r="AB486" t="s">
        <v>40</v>
      </c>
    </row>
    <row r="487" spans="1:28" x14ac:dyDescent="0.25">
      <c r="A487" t="s">
        <v>624</v>
      </c>
      <c r="B487" t="s">
        <v>385</v>
      </c>
      <c r="D487" t="s">
        <v>625</v>
      </c>
      <c r="E487" t="s">
        <v>417</v>
      </c>
      <c r="F487">
        <v>16800</v>
      </c>
      <c r="G487">
        <v>16800</v>
      </c>
      <c r="H487">
        <v>1</v>
      </c>
      <c r="I487">
        <f t="shared" si="92"/>
        <v>0</v>
      </c>
      <c r="J487">
        <v>0.48</v>
      </c>
      <c r="K487">
        <f t="shared" si="93"/>
        <v>8064</v>
      </c>
      <c r="L487" t="s">
        <v>37</v>
      </c>
      <c r="N487">
        <f t="shared" si="91"/>
        <v>2398.5561600000001</v>
      </c>
      <c r="O487">
        <f t="shared" si="94"/>
        <v>3.9876645951544658E-2</v>
      </c>
      <c r="P487" t="s">
        <v>39</v>
      </c>
      <c r="Q487">
        <f t="shared" si="95"/>
        <v>0.66089285714285717</v>
      </c>
      <c r="R487">
        <f t="shared" si="96"/>
        <v>11103</v>
      </c>
      <c r="S487">
        <f t="shared" si="97"/>
        <v>11103</v>
      </c>
      <c r="T487">
        <v>11103</v>
      </c>
      <c r="U487">
        <f t="shared" si="98"/>
        <v>0</v>
      </c>
      <c r="V487">
        <v>1</v>
      </c>
      <c r="W487">
        <v>0.22500000000000001</v>
      </c>
      <c r="X487">
        <f t="shared" si="99"/>
        <v>2498.1750000000002</v>
      </c>
      <c r="Y487">
        <f t="shared" si="100"/>
        <v>2498.1750000000002</v>
      </c>
      <c r="Z487">
        <f t="shared" si="101"/>
        <v>0</v>
      </c>
      <c r="AB487" t="s">
        <v>40</v>
      </c>
    </row>
    <row r="488" spans="1:28" x14ac:dyDescent="0.25">
      <c r="A488" t="s">
        <v>624</v>
      </c>
      <c r="B488" t="s">
        <v>386</v>
      </c>
      <c r="D488" t="s">
        <v>626</v>
      </c>
      <c r="E488" t="s">
        <v>417</v>
      </c>
      <c r="F488">
        <v>19238</v>
      </c>
      <c r="G488">
        <v>19238</v>
      </c>
      <c r="H488">
        <v>1</v>
      </c>
      <c r="I488">
        <f t="shared" si="92"/>
        <v>0</v>
      </c>
      <c r="J488">
        <v>0.48</v>
      </c>
      <c r="K488">
        <f t="shared" si="93"/>
        <v>9234.24</v>
      </c>
      <c r="L488" t="s">
        <v>37</v>
      </c>
      <c r="N488">
        <f t="shared" si="91"/>
        <v>2746.6323456000005</v>
      </c>
      <c r="O488">
        <f t="shared" si="94"/>
        <v>4.2943561792761001E-2</v>
      </c>
      <c r="P488" t="s">
        <v>39</v>
      </c>
      <c r="Q488">
        <f t="shared" si="95"/>
        <v>0.6630107079738019</v>
      </c>
      <c r="R488">
        <f t="shared" si="96"/>
        <v>12755.000000000002</v>
      </c>
      <c r="S488">
        <f t="shared" si="97"/>
        <v>12755.000000000002</v>
      </c>
      <c r="T488">
        <v>12755</v>
      </c>
      <c r="U488">
        <f t="shared" si="98"/>
        <v>-1.4260991011727606E-16</v>
      </c>
      <c r="V488">
        <v>1</v>
      </c>
      <c r="W488">
        <v>0.22500000000000001</v>
      </c>
      <c r="X488">
        <f t="shared" si="99"/>
        <v>2869.8750000000005</v>
      </c>
      <c r="Y488">
        <f t="shared" si="100"/>
        <v>2869.8750000000005</v>
      </c>
      <c r="Z488">
        <f t="shared" si="101"/>
        <v>0</v>
      </c>
      <c r="AB488" t="s">
        <v>40</v>
      </c>
    </row>
    <row r="489" spans="1:28" x14ac:dyDescent="0.25">
      <c r="A489" t="s">
        <v>624</v>
      </c>
      <c r="B489" t="s">
        <v>387</v>
      </c>
      <c r="D489" t="s">
        <v>627</v>
      </c>
      <c r="E489" t="s">
        <v>417</v>
      </c>
      <c r="F489">
        <v>21333</v>
      </c>
      <c r="G489">
        <v>21333</v>
      </c>
      <c r="H489">
        <v>1</v>
      </c>
      <c r="I489">
        <f t="shared" si="92"/>
        <v>0</v>
      </c>
      <c r="J489">
        <v>0.48</v>
      </c>
      <c r="K489">
        <f t="shared" si="93"/>
        <v>10239.84</v>
      </c>
      <c r="L489" t="s">
        <v>37</v>
      </c>
      <c r="N489">
        <f t="shared" si="91"/>
        <v>3045.7380096000006</v>
      </c>
      <c r="O489">
        <f t="shared" si="94"/>
        <v>4.2062601655933542E-2</v>
      </c>
      <c r="P489" t="s">
        <v>39</v>
      </c>
      <c r="Q489">
        <f t="shared" si="95"/>
        <v>0.66240097501523465</v>
      </c>
      <c r="R489">
        <f t="shared" si="96"/>
        <v>14131</v>
      </c>
      <c r="S489">
        <f t="shared" si="97"/>
        <v>14131</v>
      </c>
      <c r="T489">
        <v>14131</v>
      </c>
      <c r="U489">
        <f t="shared" si="98"/>
        <v>0</v>
      </c>
      <c r="V489">
        <v>1</v>
      </c>
      <c r="W489">
        <v>0.22500000000000001</v>
      </c>
      <c r="X489">
        <f t="shared" si="99"/>
        <v>3179.4749999999999</v>
      </c>
      <c r="Y489">
        <f t="shared" si="100"/>
        <v>3179.4749999999999</v>
      </c>
      <c r="Z489">
        <f t="shared" si="101"/>
        <v>0</v>
      </c>
      <c r="AB489" t="s">
        <v>40</v>
      </c>
    </row>
    <row r="490" spans="1:28" x14ac:dyDescent="0.25">
      <c r="A490" t="s">
        <v>624</v>
      </c>
      <c r="B490" t="s">
        <v>388</v>
      </c>
      <c r="D490" t="s">
        <v>628</v>
      </c>
      <c r="E490" t="s">
        <v>417</v>
      </c>
      <c r="F490">
        <v>23429</v>
      </c>
      <c r="G490">
        <v>23429</v>
      </c>
      <c r="H490">
        <v>1</v>
      </c>
      <c r="I490">
        <f t="shared" si="92"/>
        <v>0</v>
      </c>
      <c r="J490">
        <v>0.48</v>
      </c>
      <c r="K490">
        <f t="shared" si="93"/>
        <v>11245.92</v>
      </c>
      <c r="L490" t="s">
        <v>37</v>
      </c>
      <c r="N490">
        <f t="shared" si="91"/>
        <v>3344.9864448000003</v>
      </c>
      <c r="O490">
        <f t="shared" si="94"/>
        <v>4.1297064465510187E-2</v>
      </c>
      <c r="P490" t="s">
        <v>39</v>
      </c>
      <c r="Q490">
        <f t="shared" si="95"/>
        <v>0.66187203892611723</v>
      </c>
      <c r="R490">
        <f t="shared" si="96"/>
        <v>15507</v>
      </c>
      <c r="S490">
        <f t="shared" si="97"/>
        <v>15507</v>
      </c>
      <c r="T490">
        <v>15507</v>
      </c>
      <c r="U490">
        <f t="shared" si="98"/>
        <v>0</v>
      </c>
      <c r="V490">
        <v>1</v>
      </c>
      <c r="W490">
        <v>0.22500000000000001</v>
      </c>
      <c r="X490">
        <f t="shared" si="99"/>
        <v>3489.0750000000003</v>
      </c>
      <c r="Y490">
        <f t="shared" si="100"/>
        <v>3489.0750000000003</v>
      </c>
      <c r="Z490">
        <f t="shared" si="101"/>
        <v>0</v>
      </c>
      <c r="AB490" t="s">
        <v>40</v>
      </c>
    </row>
    <row r="491" spans="1:28" x14ac:dyDescent="0.25">
      <c r="A491" t="s">
        <v>624</v>
      </c>
      <c r="B491" t="s">
        <v>389</v>
      </c>
      <c r="D491" t="s">
        <v>629</v>
      </c>
      <c r="E491" t="s">
        <v>417</v>
      </c>
      <c r="F491">
        <v>27238</v>
      </c>
      <c r="G491">
        <v>27238</v>
      </c>
      <c r="H491">
        <v>1</v>
      </c>
      <c r="I491">
        <f t="shared" si="92"/>
        <v>0</v>
      </c>
      <c r="J491">
        <v>0.48</v>
      </c>
      <c r="K491">
        <f t="shared" si="93"/>
        <v>13074.24</v>
      </c>
      <c r="L491" t="s">
        <v>37</v>
      </c>
      <c r="N491">
        <f t="shared" si="91"/>
        <v>3888.8019456000002</v>
      </c>
      <c r="O491">
        <f t="shared" si="94"/>
        <v>3.9001156371049901E-2</v>
      </c>
      <c r="P491" t="s">
        <v>39</v>
      </c>
      <c r="Q491">
        <f t="shared" si="95"/>
        <v>0.66029077024744842</v>
      </c>
      <c r="R491">
        <f t="shared" si="96"/>
        <v>17985</v>
      </c>
      <c r="S491">
        <f t="shared" si="97"/>
        <v>17985</v>
      </c>
      <c r="T491">
        <v>17985</v>
      </c>
      <c r="U491">
        <f t="shared" si="98"/>
        <v>0</v>
      </c>
      <c r="V491">
        <v>1</v>
      </c>
      <c r="W491">
        <v>0.22500000000000001</v>
      </c>
      <c r="X491">
        <f t="shared" si="99"/>
        <v>4046.625</v>
      </c>
      <c r="Y491">
        <f t="shared" si="100"/>
        <v>4046.625</v>
      </c>
      <c r="Z491">
        <f t="shared" si="101"/>
        <v>0</v>
      </c>
      <c r="AB491" t="s">
        <v>40</v>
      </c>
    </row>
    <row r="492" spans="1:28" x14ac:dyDescent="0.25">
      <c r="A492" t="s">
        <v>630</v>
      </c>
      <c r="B492" t="s">
        <v>631</v>
      </c>
      <c r="D492" t="s">
        <v>632</v>
      </c>
      <c r="E492" t="s">
        <v>417</v>
      </c>
      <c r="F492">
        <v>3253524</v>
      </c>
      <c r="G492">
        <v>3253524</v>
      </c>
      <c r="H492">
        <v>1</v>
      </c>
      <c r="I492">
        <f t="shared" si="92"/>
        <v>0</v>
      </c>
      <c r="J492">
        <v>0.4</v>
      </c>
      <c r="K492">
        <f t="shared" si="93"/>
        <v>1301409.6000000001</v>
      </c>
      <c r="L492" t="s">
        <v>37</v>
      </c>
      <c r="N492">
        <f t="shared" si="91"/>
        <v>387091.27142400004</v>
      </c>
      <c r="O492">
        <f t="shared" si="94"/>
        <v>8.4344140080764407E-2</v>
      </c>
      <c r="P492" t="s">
        <v>39</v>
      </c>
      <c r="Q492">
        <f t="shared" si="95"/>
        <v>0.57749013070135646</v>
      </c>
      <c r="R492">
        <f t="shared" si="96"/>
        <v>1878878</v>
      </c>
      <c r="S492">
        <f t="shared" si="97"/>
        <v>1878878</v>
      </c>
      <c r="T492">
        <v>1878878</v>
      </c>
      <c r="U492">
        <f t="shared" si="98"/>
        <v>0</v>
      </c>
      <c r="V492">
        <v>1</v>
      </c>
      <c r="W492">
        <v>0.22500000000000001</v>
      </c>
      <c r="X492">
        <f t="shared" si="99"/>
        <v>422747.55</v>
      </c>
      <c r="Y492">
        <f t="shared" si="100"/>
        <v>422747.55</v>
      </c>
      <c r="Z492">
        <f t="shared" si="101"/>
        <v>0</v>
      </c>
      <c r="AB492" t="s">
        <v>40</v>
      </c>
    </row>
    <row r="493" spans="1:28" x14ac:dyDescent="0.25">
      <c r="A493" t="s">
        <v>630</v>
      </c>
      <c r="B493" t="s">
        <v>633</v>
      </c>
      <c r="D493" t="s">
        <v>634</v>
      </c>
      <c r="E493" t="s">
        <v>417</v>
      </c>
      <c r="F493">
        <v>5031048</v>
      </c>
      <c r="G493">
        <v>5031048</v>
      </c>
      <c r="H493">
        <v>1</v>
      </c>
      <c r="I493">
        <f t="shared" si="92"/>
        <v>0</v>
      </c>
      <c r="J493">
        <v>0.4</v>
      </c>
      <c r="K493">
        <f t="shared" si="93"/>
        <v>2012419.2000000002</v>
      </c>
      <c r="L493" t="s">
        <v>37</v>
      </c>
      <c r="N493">
        <f t="shared" si="91"/>
        <v>598573.96684800007</v>
      </c>
      <c r="O493">
        <f t="shared" si="94"/>
        <v>8.4319378313625681E-2</v>
      </c>
      <c r="P493" t="s">
        <v>39</v>
      </c>
      <c r="Q493">
        <f t="shared" si="95"/>
        <v>0.57747451425627427</v>
      </c>
      <c r="R493">
        <f t="shared" si="96"/>
        <v>2905302</v>
      </c>
      <c r="S493">
        <f t="shared" si="97"/>
        <v>2905302</v>
      </c>
      <c r="T493">
        <v>2905302</v>
      </c>
      <c r="U493">
        <f t="shared" si="98"/>
        <v>0</v>
      </c>
      <c r="V493">
        <v>1</v>
      </c>
      <c r="W493">
        <v>0.22500000000000001</v>
      </c>
      <c r="X493">
        <f t="shared" si="99"/>
        <v>653692.95000000007</v>
      </c>
      <c r="Y493">
        <f t="shared" si="100"/>
        <v>653692.95000000007</v>
      </c>
      <c r="Z493">
        <f t="shared" si="101"/>
        <v>0</v>
      </c>
      <c r="AB493" t="s">
        <v>40</v>
      </c>
    </row>
    <row r="494" spans="1:28" x14ac:dyDescent="0.25">
      <c r="A494" t="s">
        <v>630</v>
      </c>
      <c r="B494" t="s">
        <v>635</v>
      </c>
      <c r="D494" t="s">
        <v>636</v>
      </c>
      <c r="E494" t="s">
        <v>417</v>
      </c>
      <c r="F494">
        <v>6536952</v>
      </c>
      <c r="G494">
        <v>6536952</v>
      </c>
      <c r="H494">
        <v>1</v>
      </c>
      <c r="I494">
        <f t="shared" si="92"/>
        <v>0</v>
      </c>
      <c r="J494">
        <v>0.4</v>
      </c>
      <c r="K494">
        <f t="shared" si="93"/>
        <v>2614780.8000000003</v>
      </c>
      <c r="L494" t="s">
        <v>37</v>
      </c>
      <c r="N494">
        <f t="shared" ref="N494:N537" si="102">K494*$N$2*$O$2</f>
        <v>777740.40115200018</v>
      </c>
      <c r="O494">
        <f t="shared" si="94"/>
        <v>8.4375121983135362E-2</v>
      </c>
      <c r="P494" t="s">
        <v>39</v>
      </c>
      <c r="Q494">
        <f t="shared" si="95"/>
        <v>0.57750967117396612</v>
      </c>
      <c r="R494">
        <f t="shared" si="96"/>
        <v>3775153</v>
      </c>
      <c r="S494">
        <f t="shared" si="97"/>
        <v>3775153</v>
      </c>
      <c r="T494">
        <v>3775153</v>
      </c>
      <c r="U494">
        <f t="shared" si="98"/>
        <v>0</v>
      </c>
      <c r="V494">
        <v>1</v>
      </c>
      <c r="W494">
        <v>0.22500000000000001</v>
      </c>
      <c r="X494">
        <f t="shared" si="99"/>
        <v>849409.42500000005</v>
      </c>
      <c r="Y494">
        <f t="shared" si="100"/>
        <v>849409.42500000005</v>
      </c>
      <c r="Z494">
        <f t="shared" si="101"/>
        <v>0</v>
      </c>
      <c r="AB494" t="s">
        <v>40</v>
      </c>
    </row>
    <row r="495" spans="1:28" x14ac:dyDescent="0.25">
      <c r="A495" t="s">
        <v>630</v>
      </c>
      <c r="B495" t="s">
        <v>371</v>
      </c>
      <c r="D495" t="s">
        <v>637</v>
      </c>
      <c r="E495" t="s">
        <v>417</v>
      </c>
      <c r="F495">
        <v>120571</v>
      </c>
      <c r="G495">
        <v>120571</v>
      </c>
      <c r="H495">
        <v>1</v>
      </c>
      <c r="I495">
        <f t="shared" si="92"/>
        <v>0</v>
      </c>
      <c r="J495">
        <v>0.4</v>
      </c>
      <c r="K495">
        <f t="shared" si="93"/>
        <v>48228.4</v>
      </c>
      <c r="L495" t="s">
        <v>37</v>
      </c>
      <c r="N495">
        <f t="shared" si="102"/>
        <v>14345.055296000004</v>
      </c>
      <c r="O495">
        <f t="shared" si="94"/>
        <v>8.381040818020967E-2</v>
      </c>
      <c r="P495" t="s">
        <v>39</v>
      </c>
      <c r="Q495">
        <f t="shared" si="95"/>
        <v>0.57715371026200335</v>
      </c>
      <c r="R495">
        <f t="shared" si="96"/>
        <v>69588</v>
      </c>
      <c r="S495">
        <f t="shared" si="97"/>
        <v>69588</v>
      </c>
      <c r="T495">
        <v>69588</v>
      </c>
      <c r="U495">
        <f t="shared" si="98"/>
        <v>0</v>
      </c>
      <c r="V495">
        <v>1</v>
      </c>
      <c r="W495">
        <v>0.22500000000000001</v>
      </c>
      <c r="X495">
        <f t="shared" si="99"/>
        <v>15657.300000000001</v>
      </c>
      <c r="Y495">
        <f t="shared" si="100"/>
        <v>15657.300000000001</v>
      </c>
      <c r="Z495">
        <f t="shared" si="101"/>
        <v>0</v>
      </c>
      <c r="AB495" t="s">
        <v>40</v>
      </c>
    </row>
    <row r="496" spans="1:28" x14ac:dyDescent="0.25">
      <c r="A496" t="s">
        <v>630</v>
      </c>
      <c r="B496" t="s">
        <v>372</v>
      </c>
      <c r="D496" t="s">
        <v>638</v>
      </c>
      <c r="E496" t="s">
        <v>417</v>
      </c>
      <c r="F496">
        <v>139048</v>
      </c>
      <c r="G496">
        <v>139048</v>
      </c>
      <c r="H496">
        <v>1</v>
      </c>
      <c r="I496">
        <f t="shared" ref="I496:I543" si="103">(G496-F496)/F496</f>
        <v>0</v>
      </c>
      <c r="J496">
        <v>0.4</v>
      </c>
      <c r="K496">
        <f t="shared" ref="K496:K543" si="104">F496*H496*J496</f>
        <v>55619.200000000004</v>
      </c>
      <c r="L496" t="s">
        <v>37</v>
      </c>
      <c r="N496">
        <f t="shared" si="102"/>
        <v>16543.374848000003</v>
      </c>
      <c r="O496">
        <f t="shared" ref="O496:O543" si="105">(X496-N496)/X496</f>
        <v>8.4072121637426722E-2</v>
      </c>
      <c r="P496" t="s">
        <v>39</v>
      </c>
      <c r="Q496">
        <f t="shared" ref="Q496:Q543" si="106">T496/F496</f>
        <v>0.57731862378459242</v>
      </c>
      <c r="R496">
        <f t="shared" ref="R496:R543" si="107">F496*Q496</f>
        <v>80275</v>
      </c>
      <c r="S496">
        <f t="shared" ref="S496:S543" si="108">G496*Q496</f>
        <v>80275</v>
      </c>
      <c r="T496">
        <v>80275</v>
      </c>
      <c r="U496">
        <f t="shared" ref="U496:U543" si="109">(T496-R496)/R496</f>
        <v>0</v>
      </c>
      <c r="V496">
        <v>1</v>
      </c>
      <c r="W496">
        <v>0.22500000000000001</v>
      </c>
      <c r="X496">
        <f t="shared" ref="X496:X543" si="110">R496*V496*W496</f>
        <v>18061.875</v>
      </c>
      <c r="Y496">
        <f t="shared" ref="Y496:Y543" si="111">S496*W496*V496</f>
        <v>18061.875</v>
      </c>
      <c r="Z496">
        <f t="shared" ref="Z496:Z543" si="112">(Y496-X496)/X496</f>
        <v>0</v>
      </c>
      <c r="AB496" t="s">
        <v>40</v>
      </c>
    </row>
    <row r="497" spans="1:28" x14ac:dyDescent="0.25">
      <c r="A497" t="s">
        <v>630</v>
      </c>
      <c r="B497" t="s">
        <v>373</v>
      </c>
      <c r="D497" t="s">
        <v>639</v>
      </c>
      <c r="E497" t="s">
        <v>417</v>
      </c>
      <c r="F497">
        <v>183810</v>
      </c>
      <c r="G497">
        <v>183810</v>
      </c>
      <c r="H497">
        <v>1</v>
      </c>
      <c r="I497">
        <f t="shared" si="103"/>
        <v>0</v>
      </c>
      <c r="J497">
        <v>0.4</v>
      </c>
      <c r="K497">
        <f t="shared" si="104"/>
        <v>73524</v>
      </c>
      <c r="L497" t="s">
        <v>37</v>
      </c>
      <c r="N497">
        <f t="shared" si="102"/>
        <v>21868.978560000003</v>
      </c>
      <c r="O497">
        <f t="shared" si="105"/>
        <v>8.4115826438752775E-2</v>
      </c>
      <c r="P497" t="s">
        <v>39</v>
      </c>
      <c r="Q497">
        <f t="shared" si="106"/>
        <v>0.57734617267830912</v>
      </c>
      <c r="R497">
        <f t="shared" si="107"/>
        <v>106122</v>
      </c>
      <c r="S497">
        <f t="shared" si="108"/>
        <v>106122</v>
      </c>
      <c r="T497">
        <v>106122</v>
      </c>
      <c r="U497">
        <f t="shared" si="109"/>
        <v>0</v>
      </c>
      <c r="V497">
        <v>1</v>
      </c>
      <c r="W497">
        <v>0.22500000000000001</v>
      </c>
      <c r="X497">
        <f t="shared" si="110"/>
        <v>23877.45</v>
      </c>
      <c r="Y497">
        <f t="shared" si="111"/>
        <v>23877.45</v>
      </c>
      <c r="Z497">
        <f t="shared" si="112"/>
        <v>0</v>
      </c>
      <c r="AB497" t="s">
        <v>40</v>
      </c>
    </row>
    <row r="498" spans="1:28" x14ac:dyDescent="0.25">
      <c r="A498" t="s">
        <v>630</v>
      </c>
      <c r="B498" t="s">
        <v>374</v>
      </c>
      <c r="D498" t="s">
        <v>640</v>
      </c>
      <c r="E498" t="s">
        <v>417</v>
      </c>
      <c r="F498">
        <v>228952</v>
      </c>
      <c r="G498">
        <v>228952</v>
      </c>
      <c r="H498">
        <v>1</v>
      </c>
      <c r="I498">
        <f t="shared" si="103"/>
        <v>0</v>
      </c>
      <c r="J498">
        <v>0.4</v>
      </c>
      <c r="K498">
        <f t="shared" si="104"/>
        <v>91580.800000000003</v>
      </c>
      <c r="L498" t="s">
        <v>37</v>
      </c>
      <c r="N498">
        <f t="shared" si="102"/>
        <v>27239.793152000006</v>
      </c>
      <c r="O498">
        <f t="shared" si="105"/>
        <v>8.4340536071592573E-2</v>
      </c>
      <c r="P498" t="s">
        <v>39</v>
      </c>
      <c r="Q498">
        <f t="shared" si="106"/>
        <v>0.57748785771690136</v>
      </c>
      <c r="R498">
        <f t="shared" si="107"/>
        <v>132217</v>
      </c>
      <c r="S498">
        <f t="shared" si="108"/>
        <v>132217</v>
      </c>
      <c r="T498">
        <v>132217</v>
      </c>
      <c r="U498">
        <f t="shared" si="109"/>
        <v>0</v>
      </c>
      <c r="V498">
        <v>1</v>
      </c>
      <c r="W498">
        <v>0.22500000000000001</v>
      </c>
      <c r="X498">
        <f t="shared" si="110"/>
        <v>29748.825000000001</v>
      </c>
      <c r="Y498">
        <f t="shared" si="111"/>
        <v>29748.825000000001</v>
      </c>
      <c r="Z498">
        <f t="shared" si="112"/>
        <v>0</v>
      </c>
      <c r="AB498" t="s">
        <v>40</v>
      </c>
    </row>
    <row r="499" spans="1:28" x14ac:dyDescent="0.25">
      <c r="A499" t="s">
        <v>630</v>
      </c>
      <c r="B499" t="s">
        <v>375</v>
      </c>
      <c r="D499" t="s">
        <v>641</v>
      </c>
      <c r="E499" t="s">
        <v>417</v>
      </c>
      <c r="F499">
        <v>435429</v>
      </c>
      <c r="G499">
        <v>435429</v>
      </c>
      <c r="H499">
        <v>1</v>
      </c>
      <c r="I499">
        <f t="shared" si="103"/>
        <v>0</v>
      </c>
      <c r="J499">
        <v>0.4</v>
      </c>
      <c r="K499">
        <f t="shared" si="104"/>
        <v>174171.6</v>
      </c>
      <c r="L499" t="s">
        <v>37</v>
      </c>
      <c r="N499">
        <f t="shared" si="102"/>
        <v>51805.600704000004</v>
      </c>
      <c r="O499">
        <f t="shared" si="105"/>
        <v>8.4242350732615282E-2</v>
      </c>
      <c r="P499" t="s">
        <v>39</v>
      </c>
      <c r="Q499">
        <f t="shared" si="106"/>
        <v>0.57742594085373278</v>
      </c>
      <c r="R499">
        <f t="shared" si="107"/>
        <v>251428</v>
      </c>
      <c r="S499">
        <f t="shared" si="108"/>
        <v>251428</v>
      </c>
      <c r="T499">
        <v>251428</v>
      </c>
      <c r="U499">
        <f t="shared" si="109"/>
        <v>0</v>
      </c>
      <c r="V499">
        <v>1</v>
      </c>
      <c r="W499">
        <v>0.22500000000000001</v>
      </c>
      <c r="X499">
        <f t="shared" si="110"/>
        <v>56571.3</v>
      </c>
      <c r="Y499">
        <f t="shared" si="111"/>
        <v>56571.3</v>
      </c>
      <c r="Z499">
        <f t="shared" si="112"/>
        <v>0</v>
      </c>
      <c r="AB499" t="s">
        <v>40</v>
      </c>
    </row>
    <row r="500" spans="1:28" x14ac:dyDescent="0.25">
      <c r="A500" t="s">
        <v>630</v>
      </c>
      <c r="B500" t="s">
        <v>376</v>
      </c>
      <c r="D500" t="s">
        <v>642</v>
      </c>
      <c r="E500" t="s">
        <v>417</v>
      </c>
      <c r="F500">
        <v>800000</v>
      </c>
      <c r="G500">
        <v>800000</v>
      </c>
      <c r="H500">
        <v>1</v>
      </c>
      <c r="I500">
        <f t="shared" si="103"/>
        <v>0</v>
      </c>
      <c r="J500">
        <v>0.4</v>
      </c>
      <c r="K500">
        <f t="shared" si="104"/>
        <v>320000</v>
      </c>
      <c r="L500" t="s">
        <v>37</v>
      </c>
      <c r="N500">
        <f t="shared" si="102"/>
        <v>95180.800000000017</v>
      </c>
      <c r="O500">
        <f t="shared" si="105"/>
        <v>8.4224998965696532E-2</v>
      </c>
      <c r="P500" t="s">
        <v>39</v>
      </c>
      <c r="Q500">
        <f t="shared" si="106"/>
        <v>0.57741500000000001</v>
      </c>
      <c r="R500">
        <f t="shared" si="107"/>
        <v>461932</v>
      </c>
      <c r="S500">
        <f t="shared" si="108"/>
        <v>461932</v>
      </c>
      <c r="T500">
        <v>461932</v>
      </c>
      <c r="U500">
        <f t="shared" si="109"/>
        <v>0</v>
      </c>
      <c r="V500">
        <v>1</v>
      </c>
      <c r="W500">
        <v>0.22500000000000001</v>
      </c>
      <c r="X500">
        <f t="shared" si="110"/>
        <v>103934.7</v>
      </c>
      <c r="Y500">
        <f t="shared" si="111"/>
        <v>103934.7</v>
      </c>
      <c r="Z500">
        <f t="shared" si="112"/>
        <v>0</v>
      </c>
      <c r="AB500" t="s">
        <v>40</v>
      </c>
    </row>
    <row r="501" spans="1:28" x14ac:dyDescent="0.25">
      <c r="A501" t="s">
        <v>630</v>
      </c>
      <c r="B501" t="s">
        <v>377</v>
      </c>
      <c r="D501" t="s">
        <v>643</v>
      </c>
      <c r="E501" t="s">
        <v>417</v>
      </c>
      <c r="F501">
        <v>917333</v>
      </c>
      <c r="G501">
        <v>917333</v>
      </c>
      <c r="H501">
        <v>1</v>
      </c>
      <c r="I501">
        <f t="shared" si="103"/>
        <v>0</v>
      </c>
      <c r="J501">
        <v>0.4</v>
      </c>
      <c r="K501">
        <f t="shared" si="104"/>
        <v>366933.2</v>
      </c>
      <c r="L501" t="s">
        <v>37</v>
      </c>
      <c r="N501">
        <f t="shared" si="102"/>
        <v>109140.61100800002</v>
      </c>
      <c r="O501">
        <f t="shared" si="105"/>
        <v>8.4396416145958705E-2</v>
      </c>
      <c r="P501" t="s">
        <v>39</v>
      </c>
      <c r="Q501">
        <f t="shared" si="106"/>
        <v>0.57752310229763892</v>
      </c>
      <c r="R501">
        <f t="shared" si="107"/>
        <v>529781</v>
      </c>
      <c r="S501">
        <f t="shared" si="108"/>
        <v>529781</v>
      </c>
      <c r="T501">
        <v>529781</v>
      </c>
      <c r="U501">
        <f t="shared" si="109"/>
        <v>0</v>
      </c>
      <c r="V501">
        <v>1</v>
      </c>
      <c r="W501">
        <v>0.22500000000000001</v>
      </c>
      <c r="X501">
        <f t="shared" si="110"/>
        <v>119200.72500000001</v>
      </c>
      <c r="Y501">
        <f t="shared" si="111"/>
        <v>119200.72500000001</v>
      </c>
      <c r="Z501">
        <f t="shared" si="112"/>
        <v>0</v>
      </c>
      <c r="AB501" t="s">
        <v>40</v>
      </c>
    </row>
    <row r="502" spans="1:28" x14ac:dyDescent="0.25">
      <c r="A502" t="s">
        <v>644</v>
      </c>
      <c r="B502" t="s">
        <v>645</v>
      </c>
      <c r="D502" t="s">
        <v>646</v>
      </c>
      <c r="E502" t="s">
        <v>417</v>
      </c>
      <c r="F502">
        <v>3253524</v>
      </c>
      <c r="G502">
        <v>3253524</v>
      </c>
      <c r="H502">
        <v>1</v>
      </c>
      <c r="I502">
        <f t="shared" si="103"/>
        <v>0</v>
      </c>
      <c r="J502">
        <v>0.4</v>
      </c>
      <c r="K502">
        <f t="shared" si="104"/>
        <v>1301409.6000000001</v>
      </c>
      <c r="L502" t="s">
        <v>37</v>
      </c>
      <c r="N502">
        <f t="shared" si="102"/>
        <v>387091.27142400004</v>
      </c>
      <c r="O502">
        <f t="shared" si="105"/>
        <v>8.4344140080764407E-2</v>
      </c>
      <c r="P502" t="s">
        <v>39</v>
      </c>
      <c r="Q502">
        <f t="shared" si="106"/>
        <v>0.57749013070135646</v>
      </c>
      <c r="R502">
        <f t="shared" si="107"/>
        <v>1878878</v>
      </c>
      <c r="S502">
        <f t="shared" si="108"/>
        <v>1878878</v>
      </c>
      <c r="T502">
        <v>1878878</v>
      </c>
      <c r="U502">
        <f t="shared" si="109"/>
        <v>0</v>
      </c>
      <c r="V502">
        <v>1</v>
      </c>
      <c r="W502">
        <v>0.22500000000000001</v>
      </c>
      <c r="X502">
        <f t="shared" si="110"/>
        <v>422747.55</v>
      </c>
      <c r="Y502">
        <f t="shared" si="111"/>
        <v>422747.55</v>
      </c>
      <c r="Z502">
        <f t="shared" si="112"/>
        <v>0</v>
      </c>
      <c r="AB502" t="s">
        <v>40</v>
      </c>
    </row>
    <row r="503" spans="1:28" x14ac:dyDescent="0.25">
      <c r="A503" t="s">
        <v>644</v>
      </c>
      <c r="B503" t="s">
        <v>647</v>
      </c>
      <c r="D503" t="s">
        <v>648</v>
      </c>
      <c r="E503" t="s">
        <v>417</v>
      </c>
      <c r="F503">
        <v>5031048</v>
      </c>
      <c r="G503">
        <v>5031048</v>
      </c>
      <c r="H503">
        <v>1</v>
      </c>
      <c r="I503">
        <f t="shared" si="103"/>
        <v>0</v>
      </c>
      <c r="J503">
        <v>0.4</v>
      </c>
      <c r="K503">
        <f t="shared" si="104"/>
        <v>2012419.2000000002</v>
      </c>
      <c r="L503" t="s">
        <v>37</v>
      </c>
      <c r="N503">
        <f t="shared" si="102"/>
        <v>598573.96684800007</v>
      </c>
      <c r="O503">
        <f t="shared" si="105"/>
        <v>8.4319378313625681E-2</v>
      </c>
      <c r="P503" t="s">
        <v>39</v>
      </c>
      <c r="Q503">
        <f t="shared" si="106"/>
        <v>0.57747451425627427</v>
      </c>
      <c r="R503">
        <f t="shared" si="107"/>
        <v>2905302</v>
      </c>
      <c r="S503">
        <f t="shared" si="108"/>
        <v>2905302</v>
      </c>
      <c r="T503">
        <v>2905302</v>
      </c>
      <c r="U503">
        <f t="shared" si="109"/>
        <v>0</v>
      </c>
      <c r="V503">
        <v>1</v>
      </c>
      <c r="W503">
        <v>0.22500000000000001</v>
      </c>
      <c r="X503">
        <f t="shared" si="110"/>
        <v>653692.95000000007</v>
      </c>
      <c r="Y503">
        <f t="shared" si="111"/>
        <v>653692.95000000007</v>
      </c>
      <c r="Z503">
        <f t="shared" si="112"/>
        <v>0</v>
      </c>
      <c r="AB503" t="s">
        <v>40</v>
      </c>
    </row>
    <row r="504" spans="1:28" x14ac:dyDescent="0.25">
      <c r="A504" t="s">
        <v>644</v>
      </c>
      <c r="B504" t="s">
        <v>649</v>
      </c>
      <c r="D504" t="s">
        <v>650</v>
      </c>
      <c r="E504" t="s">
        <v>417</v>
      </c>
      <c r="F504">
        <v>6536952</v>
      </c>
      <c r="G504">
        <v>6536952</v>
      </c>
      <c r="H504">
        <v>1</v>
      </c>
      <c r="I504">
        <f t="shared" si="103"/>
        <v>0</v>
      </c>
      <c r="J504">
        <v>0.4</v>
      </c>
      <c r="K504">
        <f t="shared" si="104"/>
        <v>2614780.8000000003</v>
      </c>
      <c r="L504" t="s">
        <v>37</v>
      </c>
      <c r="N504">
        <f t="shared" si="102"/>
        <v>777740.40115200018</v>
      </c>
      <c r="O504">
        <f t="shared" si="105"/>
        <v>8.4375121983135362E-2</v>
      </c>
      <c r="P504" t="s">
        <v>39</v>
      </c>
      <c r="Q504">
        <f t="shared" si="106"/>
        <v>0.57750967117396612</v>
      </c>
      <c r="R504">
        <f t="shared" si="107"/>
        <v>3775153</v>
      </c>
      <c r="S504">
        <f t="shared" si="108"/>
        <v>3775153</v>
      </c>
      <c r="T504">
        <v>3775153</v>
      </c>
      <c r="U504">
        <f t="shared" si="109"/>
        <v>0</v>
      </c>
      <c r="V504">
        <v>1</v>
      </c>
      <c r="W504">
        <v>0.22500000000000001</v>
      </c>
      <c r="X504">
        <f t="shared" si="110"/>
        <v>849409.42500000005</v>
      </c>
      <c r="Y504">
        <f t="shared" si="111"/>
        <v>849409.42500000005</v>
      </c>
      <c r="Z504">
        <f t="shared" si="112"/>
        <v>0</v>
      </c>
      <c r="AB504" t="s">
        <v>40</v>
      </c>
    </row>
    <row r="505" spans="1:28" x14ac:dyDescent="0.25">
      <c r="A505" t="s">
        <v>644</v>
      </c>
      <c r="B505" t="s">
        <v>378</v>
      </c>
      <c r="D505" t="s">
        <v>651</v>
      </c>
      <c r="E505" t="s">
        <v>417</v>
      </c>
      <c r="F505">
        <v>120571</v>
      </c>
      <c r="G505">
        <v>120571</v>
      </c>
      <c r="H505">
        <v>1</v>
      </c>
      <c r="I505">
        <f t="shared" si="103"/>
        <v>0</v>
      </c>
      <c r="J505">
        <v>0.4</v>
      </c>
      <c r="K505">
        <f t="shared" si="104"/>
        <v>48228.4</v>
      </c>
      <c r="L505" t="s">
        <v>37</v>
      </c>
      <c r="N505">
        <f t="shared" si="102"/>
        <v>14345.055296000004</v>
      </c>
      <c r="O505">
        <f t="shared" si="105"/>
        <v>8.381040818020967E-2</v>
      </c>
      <c r="P505" t="s">
        <v>39</v>
      </c>
      <c r="Q505">
        <f t="shared" si="106"/>
        <v>0.57715371026200335</v>
      </c>
      <c r="R505">
        <f t="shared" si="107"/>
        <v>69588</v>
      </c>
      <c r="S505">
        <f t="shared" si="108"/>
        <v>69588</v>
      </c>
      <c r="T505">
        <v>69588</v>
      </c>
      <c r="U505">
        <f t="shared" si="109"/>
        <v>0</v>
      </c>
      <c r="V505">
        <v>1</v>
      </c>
      <c r="W505">
        <v>0.22500000000000001</v>
      </c>
      <c r="X505">
        <f t="shared" si="110"/>
        <v>15657.300000000001</v>
      </c>
      <c r="Y505">
        <f t="shared" si="111"/>
        <v>15657.300000000001</v>
      </c>
      <c r="Z505">
        <f t="shared" si="112"/>
        <v>0</v>
      </c>
      <c r="AB505" t="s">
        <v>40</v>
      </c>
    </row>
    <row r="506" spans="1:28" x14ac:dyDescent="0.25">
      <c r="A506" t="s">
        <v>644</v>
      </c>
      <c r="B506" t="s">
        <v>379</v>
      </c>
      <c r="D506" t="s">
        <v>652</v>
      </c>
      <c r="E506" t="s">
        <v>417</v>
      </c>
      <c r="F506">
        <v>139048</v>
      </c>
      <c r="G506">
        <v>139048</v>
      </c>
      <c r="H506">
        <v>1</v>
      </c>
      <c r="I506">
        <f t="shared" si="103"/>
        <v>0</v>
      </c>
      <c r="J506">
        <v>0.4</v>
      </c>
      <c r="K506">
        <f t="shared" si="104"/>
        <v>55619.200000000004</v>
      </c>
      <c r="L506" t="s">
        <v>37</v>
      </c>
      <c r="N506">
        <f t="shared" si="102"/>
        <v>16543.374848000003</v>
      </c>
      <c r="O506">
        <f t="shared" si="105"/>
        <v>8.4072121637426722E-2</v>
      </c>
      <c r="P506" t="s">
        <v>39</v>
      </c>
      <c r="Q506">
        <f t="shared" si="106"/>
        <v>0.57731862378459242</v>
      </c>
      <c r="R506">
        <f t="shared" si="107"/>
        <v>80275</v>
      </c>
      <c r="S506">
        <f t="shared" si="108"/>
        <v>80275</v>
      </c>
      <c r="T506">
        <v>80275</v>
      </c>
      <c r="U506">
        <f t="shared" si="109"/>
        <v>0</v>
      </c>
      <c r="V506">
        <v>1</v>
      </c>
      <c r="W506">
        <v>0.22500000000000001</v>
      </c>
      <c r="X506">
        <f t="shared" si="110"/>
        <v>18061.875</v>
      </c>
      <c r="Y506">
        <f t="shared" si="111"/>
        <v>18061.875</v>
      </c>
      <c r="Z506">
        <f t="shared" si="112"/>
        <v>0</v>
      </c>
      <c r="AB506" t="s">
        <v>40</v>
      </c>
    </row>
    <row r="507" spans="1:28" x14ac:dyDescent="0.25">
      <c r="A507" t="s">
        <v>644</v>
      </c>
      <c r="B507" t="s">
        <v>380</v>
      </c>
      <c r="D507" t="s">
        <v>653</v>
      </c>
      <c r="E507" t="s">
        <v>417</v>
      </c>
      <c r="F507">
        <v>183810</v>
      </c>
      <c r="G507">
        <v>183810</v>
      </c>
      <c r="H507">
        <v>1</v>
      </c>
      <c r="I507">
        <f t="shared" si="103"/>
        <v>0</v>
      </c>
      <c r="J507">
        <v>0.4</v>
      </c>
      <c r="K507">
        <f t="shared" si="104"/>
        <v>73524</v>
      </c>
      <c r="L507" t="s">
        <v>37</v>
      </c>
      <c r="N507">
        <f t="shared" si="102"/>
        <v>21868.978560000003</v>
      </c>
      <c r="O507">
        <f t="shared" si="105"/>
        <v>8.4115826438752775E-2</v>
      </c>
      <c r="P507" t="s">
        <v>39</v>
      </c>
      <c r="Q507">
        <f t="shared" si="106"/>
        <v>0.57734617267830912</v>
      </c>
      <c r="R507">
        <f t="shared" si="107"/>
        <v>106122</v>
      </c>
      <c r="S507">
        <f t="shared" si="108"/>
        <v>106122</v>
      </c>
      <c r="T507">
        <v>106122</v>
      </c>
      <c r="U507">
        <f t="shared" si="109"/>
        <v>0</v>
      </c>
      <c r="V507">
        <v>1</v>
      </c>
      <c r="W507">
        <v>0.22500000000000001</v>
      </c>
      <c r="X507">
        <f t="shared" si="110"/>
        <v>23877.45</v>
      </c>
      <c r="Y507">
        <f t="shared" si="111"/>
        <v>23877.45</v>
      </c>
      <c r="Z507">
        <f t="shared" si="112"/>
        <v>0</v>
      </c>
      <c r="AB507" t="s">
        <v>40</v>
      </c>
    </row>
    <row r="508" spans="1:28" x14ac:dyDescent="0.25">
      <c r="A508" t="s">
        <v>644</v>
      </c>
      <c r="B508" t="s">
        <v>381</v>
      </c>
      <c r="D508" t="s">
        <v>654</v>
      </c>
      <c r="E508" t="s">
        <v>417</v>
      </c>
      <c r="F508">
        <v>228952</v>
      </c>
      <c r="G508">
        <v>228952</v>
      </c>
      <c r="H508">
        <v>1</v>
      </c>
      <c r="I508">
        <f t="shared" si="103"/>
        <v>0</v>
      </c>
      <c r="J508">
        <v>0.4</v>
      </c>
      <c r="K508">
        <f t="shared" si="104"/>
        <v>91580.800000000003</v>
      </c>
      <c r="L508" t="s">
        <v>37</v>
      </c>
      <c r="N508">
        <f t="shared" si="102"/>
        <v>27239.793152000006</v>
      </c>
      <c r="O508">
        <f t="shared" si="105"/>
        <v>8.4340536071592573E-2</v>
      </c>
      <c r="P508" t="s">
        <v>39</v>
      </c>
      <c r="Q508">
        <f t="shared" si="106"/>
        <v>0.57748785771690136</v>
      </c>
      <c r="R508">
        <f t="shared" si="107"/>
        <v>132217</v>
      </c>
      <c r="S508">
        <f t="shared" si="108"/>
        <v>132217</v>
      </c>
      <c r="T508">
        <v>132217</v>
      </c>
      <c r="U508">
        <f t="shared" si="109"/>
        <v>0</v>
      </c>
      <c r="V508">
        <v>1</v>
      </c>
      <c r="W508">
        <v>0.22500000000000001</v>
      </c>
      <c r="X508">
        <f t="shared" si="110"/>
        <v>29748.825000000001</v>
      </c>
      <c r="Y508">
        <f t="shared" si="111"/>
        <v>29748.825000000001</v>
      </c>
      <c r="Z508">
        <f t="shared" si="112"/>
        <v>0</v>
      </c>
      <c r="AB508" t="s">
        <v>40</v>
      </c>
    </row>
    <row r="509" spans="1:28" x14ac:dyDescent="0.25">
      <c r="A509" t="s">
        <v>644</v>
      </c>
      <c r="B509" t="s">
        <v>382</v>
      </c>
      <c r="D509" t="s">
        <v>655</v>
      </c>
      <c r="E509" t="s">
        <v>417</v>
      </c>
      <c r="F509">
        <v>435429</v>
      </c>
      <c r="G509">
        <v>435429</v>
      </c>
      <c r="H509">
        <v>1</v>
      </c>
      <c r="I509">
        <f t="shared" si="103"/>
        <v>0</v>
      </c>
      <c r="J509">
        <v>0.4</v>
      </c>
      <c r="K509">
        <f t="shared" si="104"/>
        <v>174171.6</v>
      </c>
      <c r="L509" t="s">
        <v>37</v>
      </c>
      <c r="N509">
        <f t="shared" si="102"/>
        <v>51805.600704000004</v>
      </c>
      <c r="O509">
        <f t="shared" si="105"/>
        <v>8.4242350732615282E-2</v>
      </c>
      <c r="P509" t="s">
        <v>39</v>
      </c>
      <c r="Q509">
        <f t="shared" si="106"/>
        <v>0.57742594085373278</v>
      </c>
      <c r="R509">
        <f t="shared" si="107"/>
        <v>251428</v>
      </c>
      <c r="S509">
        <f t="shared" si="108"/>
        <v>251428</v>
      </c>
      <c r="T509">
        <v>251428</v>
      </c>
      <c r="U509">
        <f t="shared" si="109"/>
        <v>0</v>
      </c>
      <c r="V509">
        <v>1</v>
      </c>
      <c r="W509">
        <v>0.22500000000000001</v>
      </c>
      <c r="X509">
        <f t="shared" si="110"/>
        <v>56571.3</v>
      </c>
      <c r="Y509">
        <f t="shared" si="111"/>
        <v>56571.3</v>
      </c>
      <c r="Z509">
        <f t="shared" si="112"/>
        <v>0</v>
      </c>
      <c r="AB509" t="s">
        <v>40</v>
      </c>
    </row>
    <row r="510" spans="1:28" x14ac:dyDescent="0.25">
      <c r="A510" t="s">
        <v>644</v>
      </c>
      <c r="B510" t="s">
        <v>383</v>
      </c>
      <c r="D510" t="s">
        <v>656</v>
      </c>
      <c r="E510" t="s">
        <v>417</v>
      </c>
      <c r="F510">
        <v>800000</v>
      </c>
      <c r="G510">
        <v>800000</v>
      </c>
      <c r="H510">
        <v>1</v>
      </c>
      <c r="I510">
        <f t="shared" si="103"/>
        <v>0</v>
      </c>
      <c r="J510">
        <v>0.4</v>
      </c>
      <c r="K510">
        <f t="shared" si="104"/>
        <v>320000</v>
      </c>
      <c r="L510" t="s">
        <v>37</v>
      </c>
      <c r="N510">
        <f t="shared" si="102"/>
        <v>95180.800000000017</v>
      </c>
      <c r="O510">
        <f t="shared" si="105"/>
        <v>8.4224998965696532E-2</v>
      </c>
      <c r="P510" t="s">
        <v>39</v>
      </c>
      <c r="Q510">
        <f t="shared" si="106"/>
        <v>0.57741500000000001</v>
      </c>
      <c r="R510">
        <f t="shared" si="107"/>
        <v>461932</v>
      </c>
      <c r="S510">
        <f t="shared" si="108"/>
        <v>461932</v>
      </c>
      <c r="T510">
        <v>461932</v>
      </c>
      <c r="U510">
        <f t="shared" si="109"/>
        <v>0</v>
      </c>
      <c r="V510">
        <v>1</v>
      </c>
      <c r="W510">
        <v>0.22500000000000001</v>
      </c>
      <c r="X510">
        <f t="shared" si="110"/>
        <v>103934.7</v>
      </c>
      <c r="Y510">
        <f t="shared" si="111"/>
        <v>103934.7</v>
      </c>
      <c r="Z510">
        <f t="shared" si="112"/>
        <v>0</v>
      </c>
      <c r="AB510" t="s">
        <v>40</v>
      </c>
    </row>
    <row r="511" spans="1:28" x14ac:dyDescent="0.25">
      <c r="A511" t="s">
        <v>644</v>
      </c>
      <c r="B511" t="s">
        <v>384</v>
      </c>
      <c r="D511" t="s">
        <v>657</v>
      </c>
      <c r="E511" t="s">
        <v>417</v>
      </c>
      <c r="F511">
        <v>917333</v>
      </c>
      <c r="G511">
        <v>917333</v>
      </c>
      <c r="H511">
        <v>1</v>
      </c>
      <c r="I511">
        <f t="shared" si="103"/>
        <v>0</v>
      </c>
      <c r="J511">
        <v>0.4</v>
      </c>
      <c r="K511">
        <f t="shared" si="104"/>
        <v>366933.2</v>
      </c>
      <c r="L511" t="s">
        <v>37</v>
      </c>
      <c r="N511">
        <f t="shared" si="102"/>
        <v>109140.61100800002</v>
      </c>
      <c r="O511">
        <f t="shared" si="105"/>
        <v>8.4396416145958705E-2</v>
      </c>
      <c r="P511" t="s">
        <v>39</v>
      </c>
      <c r="Q511">
        <f t="shared" si="106"/>
        <v>0.57752310229763892</v>
      </c>
      <c r="R511">
        <f t="shared" si="107"/>
        <v>529781</v>
      </c>
      <c r="S511">
        <f t="shared" si="108"/>
        <v>529781</v>
      </c>
      <c r="T511">
        <v>529781</v>
      </c>
      <c r="U511">
        <f t="shared" si="109"/>
        <v>0</v>
      </c>
      <c r="V511">
        <v>1</v>
      </c>
      <c r="W511">
        <v>0.22500000000000001</v>
      </c>
      <c r="X511">
        <f t="shared" si="110"/>
        <v>119200.72500000001</v>
      </c>
      <c r="Y511">
        <f t="shared" si="111"/>
        <v>119200.72500000001</v>
      </c>
      <c r="Z511">
        <f t="shared" si="112"/>
        <v>0</v>
      </c>
      <c r="AB511" t="s">
        <v>40</v>
      </c>
    </row>
    <row r="512" spans="1:28" x14ac:dyDescent="0.25">
      <c r="A512" t="s">
        <v>658</v>
      </c>
      <c r="B512" t="s">
        <v>659</v>
      </c>
      <c r="D512" t="s">
        <v>660</v>
      </c>
      <c r="E512" t="s">
        <v>417</v>
      </c>
      <c r="F512">
        <v>148571</v>
      </c>
      <c r="G512">
        <v>148571</v>
      </c>
      <c r="H512">
        <v>1</v>
      </c>
      <c r="I512">
        <f t="shared" si="103"/>
        <v>0</v>
      </c>
      <c r="J512">
        <v>0.48</v>
      </c>
      <c r="K512">
        <f t="shared" si="104"/>
        <v>71314.080000000002</v>
      </c>
      <c r="L512" t="s">
        <v>37</v>
      </c>
      <c r="N512">
        <f t="shared" si="102"/>
        <v>21211.659955200004</v>
      </c>
      <c r="O512">
        <f t="shared" si="105"/>
        <v>3.9822738477416415E-2</v>
      </c>
      <c r="P512" t="s">
        <v>39</v>
      </c>
      <c r="Q512">
        <f t="shared" si="106"/>
        <v>0.66085575246851669</v>
      </c>
      <c r="R512">
        <f t="shared" si="107"/>
        <v>98184</v>
      </c>
      <c r="S512">
        <f t="shared" si="108"/>
        <v>98184</v>
      </c>
      <c r="T512">
        <v>98184</v>
      </c>
      <c r="U512">
        <f t="shared" si="109"/>
        <v>0</v>
      </c>
      <c r="V512">
        <v>1</v>
      </c>
      <c r="W512">
        <v>0.22500000000000001</v>
      </c>
      <c r="X512">
        <f t="shared" si="110"/>
        <v>22091.4</v>
      </c>
      <c r="Y512">
        <f t="shared" si="111"/>
        <v>22091.4</v>
      </c>
      <c r="Z512">
        <f t="shared" si="112"/>
        <v>0</v>
      </c>
      <c r="AB512" t="s">
        <v>40</v>
      </c>
    </row>
    <row r="513" spans="1:28" x14ac:dyDescent="0.25">
      <c r="A513" t="s">
        <v>658</v>
      </c>
      <c r="B513" t="s">
        <v>661</v>
      </c>
      <c r="D513" t="s">
        <v>662</v>
      </c>
      <c r="E513" t="s">
        <v>417</v>
      </c>
      <c r="F513">
        <v>197143</v>
      </c>
      <c r="G513">
        <v>197143</v>
      </c>
      <c r="H513">
        <v>1</v>
      </c>
      <c r="I513">
        <f t="shared" si="103"/>
        <v>0</v>
      </c>
      <c r="J513">
        <v>0.48</v>
      </c>
      <c r="K513">
        <f t="shared" si="104"/>
        <v>94628.64</v>
      </c>
      <c r="L513" t="s">
        <v>37</v>
      </c>
      <c r="N513">
        <f t="shared" si="102"/>
        <v>28146.342681600006</v>
      </c>
      <c r="O513">
        <f t="shared" si="105"/>
        <v>3.9947380179073594E-2</v>
      </c>
      <c r="P513" t="s">
        <v>39</v>
      </c>
      <c r="Q513">
        <f t="shared" si="106"/>
        <v>0.660941550042355</v>
      </c>
      <c r="R513">
        <f t="shared" si="107"/>
        <v>130299.99999999999</v>
      </c>
      <c r="S513">
        <f t="shared" si="108"/>
        <v>130299.99999999999</v>
      </c>
      <c r="T513">
        <v>130300</v>
      </c>
      <c r="U513">
        <f t="shared" si="109"/>
        <v>1.116800861731915E-16</v>
      </c>
      <c r="V513">
        <v>1</v>
      </c>
      <c r="W513">
        <v>0.22500000000000001</v>
      </c>
      <c r="X513">
        <f t="shared" si="110"/>
        <v>29317.499999999996</v>
      </c>
      <c r="Y513">
        <f t="shared" si="111"/>
        <v>29317.499999999996</v>
      </c>
      <c r="Z513">
        <f t="shared" si="112"/>
        <v>0</v>
      </c>
      <c r="AB513" t="s">
        <v>40</v>
      </c>
    </row>
    <row r="514" spans="1:28" x14ac:dyDescent="0.25">
      <c r="A514" t="s">
        <v>658</v>
      </c>
      <c r="B514" t="s">
        <v>663</v>
      </c>
      <c r="D514" t="s">
        <v>664</v>
      </c>
      <c r="E514" t="s">
        <v>417</v>
      </c>
      <c r="F514">
        <v>243238</v>
      </c>
      <c r="G514">
        <v>243238</v>
      </c>
      <c r="H514">
        <v>1</v>
      </c>
      <c r="I514">
        <f t="shared" si="103"/>
        <v>0</v>
      </c>
      <c r="J514">
        <v>0.48</v>
      </c>
      <c r="K514">
        <f t="shared" si="104"/>
        <v>116754.23999999999</v>
      </c>
      <c r="L514" t="s">
        <v>37</v>
      </c>
      <c r="N514">
        <f t="shared" si="102"/>
        <v>34727.381145599997</v>
      </c>
      <c r="O514">
        <f t="shared" si="105"/>
        <v>3.8840733320463457E-2</v>
      </c>
      <c r="P514" t="s">
        <v>39</v>
      </c>
      <c r="Q514">
        <f t="shared" si="106"/>
        <v>0.66018056389215496</v>
      </c>
      <c r="R514">
        <f t="shared" si="107"/>
        <v>160581</v>
      </c>
      <c r="S514">
        <f t="shared" si="108"/>
        <v>160581</v>
      </c>
      <c r="T514">
        <v>160581</v>
      </c>
      <c r="U514">
        <f t="shared" si="109"/>
        <v>0</v>
      </c>
      <c r="V514">
        <v>1</v>
      </c>
      <c r="W514">
        <v>0.22500000000000001</v>
      </c>
      <c r="X514">
        <f t="shared" si="110"/>
        <v>36130.724999999999</v>
      </c>
      <c r="Y514">
        <f t="shared" si="111"/>
        <v>36130.724999999999</v>
      </c>
      <c r="Z514">
        <f t="shared" si="112"/>
        <v>0</v>
      </c>
      <c r="AB514" t="s">
        <v>40</v>
      </c>
    </row>
    <row r="515" spans="1:28" x14ac:dyDescent="0.25">
      <c r="A515" t="s">
        <v>658</v>
      </c>
      <c r="B515" t="s">
        <v>665</v>
      </c>
      <c r="D515" t="s">
        <v>666</v>
      </c>
      <c r="E515" t="s">
        <v>417</v>
      </c>
      <c r="F515">
        <v>437333</v>
      </c>
      <c r="G515">
        <v>437333</v>
      </c>
      <c r="H515">
        <v>1</v>
      </c>
      <c r="I515">
        <f t="shared" si="103"/>
        <v>0</v>
      </c>
      <c r="J515">
        <v>0.48</v>
      </c>
      <c r="K515">
        <f t="shared" si="104"/>
        <v>209919.84</v>
      </c>
      <c r="L515" t="s">
        <v>37</v>
      </c>
      <c r="N515">
        <f t="shared" si="102"/>
        <v>62438.557209600011</v>
      </c>
      <c r="O515">
        <f t="shared" si="105"/>
        <v>3.9925621583720941E-2</v>
      </c>
      <c r="P515" t="s">
        <v>39</v>
      </c>
      <c r="Q515">
        <f t="shared" si="106"/>
        <v>0.66092657082817896</v>
      </c>
      <c r="R515">
        <f t="shared" si="107"/>
        <v>289045</v>
      </c>
      <c r="S515">
        <f t="shared" si="108"/>
        <v>289045</v>
      </c>
      <c r="T515">
        <v>289045</v>
      </c>
      <c r="U515">
        <f t="shared" si="109"/>
        <v>0</v>
      </c>
      <c r="V515">
        <v>1</v>
      </c>
      <c r="W515">
        <v>0.22500000000000001</v>
      </c>
      <c r="X515">
        <f t="shared" si="110"/>
        <v>65035.125</v>
      </c>
      <c r="Y515">
        <f t="shared" si="111"/>
        <v>65035.125</v>
      </c>
      <c r="Z515">
        <f t="shared" si="112"/>
        <v>0</v>
      </c>
      <c r="AB515" t="s">
        <v>40</v>
      </c>
    </row>
    <row r="516" spans="1:28" x14ac:dyDescent="0.25">
      <c r="A516" t="s">
        <v>667</v>
      </c>
      <c r="B516" t="s">
        <v>668</v>
      </c>
      <c r="D516" t="s">
        <v>669</v>
      </c>
      <c r="E516" t="s">
        <v>417</v>
      </c>
      <c r="F516">
        <v>3130</v>
      </c>
      <c r="G516">
        <v>3130</v>
      </c>
      <c r="H516">
        <v>1</v>
      </c>
      <c r="I516">
        <f t="shared" si="103"/>
        <v>0</v>
      </c>
      <c r="J516">
        <v>1</v>
      </c>
      <c r="K516">
        <f t="shared" si="104"/>
        <v>3130</v>
      </c>
      <c r="L516" t="s">
        <v>37</v>
      </c>
      <c r="N516">
        <f t="shared" si="102"/>
        <v>930.98720000000014</v>
      </c>
      <c r="O516">
        <f t="shared" si="105"/>
        <v>0.27636920446154428</v>
      </c>
      <c r="P516" t="s">
        <v>39</v>
      </c>
      <c r="Q516">
        <f t="shared" si="106"/>
        <v>1.8268370607028754</v>
      </c>
      <c r="R516">
        <f t="shared" si="107"/>
        <v>5718</v>
      </c>
      <c r="S516">
        <f t="shared" si="108"/>
        <v>5718</v>
      </c>
      <c r="T516">
        <v>5718</v>
      </c>
      <c r="U516">
        <f t="shared" si="109"/>
        <v>0</v>
      </c>
      <c r="V516">
        <v>1</v>
      </c>
      <c r="W516">
        <v>0.22500000000000001</v>
      </c>
      <c r="X516">
        <f t="shared" si="110"/>
        <v>1286.55</v>
      </c>
      <c r="Y516">
        <f t="shared" si="111"/>
        <v>1286.55</v>
      </c>
      <c r="Z516">
        <f t="shared" si="112"/>
        <v>0</v>
      </c>
      <c r="AB516" t="s">
        <v>40</v>
      </c>
    </row>
    <row r="517" spans="1:28" x14ac:dyDescent="0.25">
      <c r="A517" t="s">
        <v>667</v>
      </c>
      <c r="B517" t="s">
        <v>670</v>
      </c>
      <c r="D517" t="s">
        <v>671</v>
      </c>
      <c r="E517" t="s">
        <v>417</v>
      </c>
      <c r="F517">
        <v>2920</v>
      </c>
      <c r="G517">
        <v>2920</v>
      </c>
      <c r="H517">
        <v>1</v>
      </c>
      <c r="I517">
        <f t="shared" si="103"/>
        <v>0</v>
      </c>
      <c r="J517">
        <v>1</v>
      </c>
      <c r="K517">
        <f t="shared" si="104"/>
        <v>2920</v>
      </c>
      <c r="L517" t="s">
        <v>37</v>
      </c>
      <c r="N517">
        <f t="shared" si="102"/>
        <v>868.52480000000014</v>
      </c>
      <c r="O517">
        <f t="shared" si="105"/>
        <v>0.27564079147640785</v>
      </c>
      <c r="P517" t="s">
        <v>39</v>
      </c>
      <c r="Q517">
        <f t="shared" si="106"/>
        <v>1.825</v>
      </c>
      <c r="R517">
        <f t="shared" si="107"/>
        <v>5329</v>
      </c>
      <c r="S517">
        <f t="shared" si="108"/>
        <v>5329</v>
      </c>
      <c r="T517">
        <v>5329</v>
      </c>
      <c r="U517">
        <f t="shared" si="109"/>
        <v>0</v>
      </c>
      <c r="V517">
        <v>1</v>
      </c>
      <c r="W517">
        <v>0.22500000000000001</v>
      </c>
      <c r="X517">
        <f t="shared" si="110"/>
        <v>1199.0250000000001</v>
      </c>
      <c r="Y517">
        <f t="shared" si="111"/>
        <v>1199.0250000000001</v>
      </c>
      <c r="Z517">
        <f t="shared" si="112"/>
        <v>0</v>
      </c>
      <c r="AB517" t="s">
        <v>40</v>
      </c>
    </row>
    <row r="518" spans="1:28" x14ac:dyDescent="0.25">
      <c r="A518" t="s">
        <v>667</v>
      </c>
      <c r="B518" t="s">
        <v>672</v>
      </c>
      <c r="D518" t="s">
        <v>673</v>
      </c>
      <c r="E518" t="s">
        <v>417</v>
      </c>
      <c r="F518">
        <v>3130</v>
      </c>
      <c r="G518">
        <v>3130</v>
      </c>
      <c r="H518">
        <v>1</v>
      </c>
      <c r="I518">
        <f t="shared" si="103"/>
        <v>0</v>
      </c>
      <c r="J518">
        <v>1</v>
      </c>
      <c r="K518">
        <f t="shared" si="104"/>
        <v>3130</v>
      </c>
      <c r="L518" t="s">
        <v>37</v>
      </c>
      <c r="N518">
        <f t="shared" si="102"/>
        <v>930.98720000000014</v>
      </c>
      <c r="O518">
        <f t="shared" si="105"/>
        <v>0.27636920446154428</v>
      </c>
      <c r="P518" t="s">
        <v>39</v>
      </c>
      <c r="Q518">
        <f t="shared" si="106"/>
        <v>1.8268370607028754</v>
      </c>
      <c r="R518">
        <f t="shared" si="107"/>
        <v>5718</v>
      </c>
      <c r="S518">
        <f t="shared" si="108"/>
        <v>5718</v>
      </c>
      <c r="T518">
        <v>5718</v>
      </c>
      <c r="U518">
        <f t="shared" si="109"/>
        <v>0</v>
      </c>
      <c r="V518">
        <v>1</v>
      </c>
      <c r="W518">
        <v>0.22500000000000001</v>
      </c>
      <c r="X518">
        <f t="shared" si="110"/>
        <v>1286.55</v>
      </c>
      <c r="Y518">
        <f t="shared" si="111"/>
        <v>1286.55</v>
      </c>
      <c r="Z518">
        <f t="shared" si="112"/>
        <v>0</v>
      </c>
      <c r="AB518" t="s">
        <v>40</v>
      </c>
    </row>
    <row r="519" spans="1:28" x14ac:dyDescent="0.25">
      <c r="A519" t="s">
        <v>667</v>
      </c>
      <c r="B519" t="s">
        <v>674</v>
      </c>
      <c r="D519" t="s">
        <v>675</v>
      </c>
      <c r="E519" t="s">
        <v>417</v>
      </c>
      <c r="F519">
        <v>3210</v>
      </c>
      <c r="G519">
        <v>3210</v>
      </c>
      <c r="H519">
        <v>1</v>
      </c>
      <c r="I519">
        <f t="shared" si="103"/>
        <v>0</v>
      </c>
      <c r="J519">
        <v>1</v>
      </c>
      <c r="K519">
        <f t="shared" si="104"/>
        <v>3210</v>
      </c>
      <c r="L519" t="s">
        <v>37</v>
      </c>
      <c r="N519">
        <f t="shared" si="102"/>
        <v>954.78240000000005</v>
      </c>
      <c r="O519">
        <f t="shared" si="105"/>
        <v>0.27449524135179804</v>
      </c>
      <c r="P519" t="s">
        <v>39</v>
      </c>
      <c r="Q519">
        <f t="shared" si="106"/>
        <v>1.8221183800623053</v>
      </c>
      <c r="R519">
        <f t="shared" si="107"/>
        <v>5849</v>
      </c>
      <c r="S519">
        <f t="shared" si="108"/>
        <v>5849</v>
      </c>
      <c r="T519">
        <v>5849</v>
      </c>
      <c r="U519">
        <f t="shared" si="109"/>
        <v>0</v>
      </c>
      <c r="V519">
        <v>1</v>
      </c>
      <c r="W519">
        <v>0.22500000000000001</v>
      </c>
      <c r="X519">
        <f t="shared" si="110"/>
        <v>1316.0250000000001</v>
      </c>
      <c r="Y519">
        <f t="shared" si="111"/>
        <v>1316.0250000000001</v>
      </c>
      <c r="Z519">
        <f t="shared" si="112"/>
        <v>0</v>
      </c>
      <c r="AB519" t="s">
        <v>40</v>
      </c>
    </row>
    <row r="520" spans="1:28" x14ac:dyDescent="0.25">
      <c r="A520" t="s">
        <v>667</v>
      </c>
      <c r="B520" t="s">
        <v>676</v>
      </c>
      <c r="D520" t="s">
        <v>677</v>
      </c>
      <c r="E520" t="s">
        <v>417</v>
      </c>
      <c r="F520">
        <v>3570</v>
      </c>
      <c r="G520">
        <v>3570</v>
      </c>
      <c r="H520">
        <v>1</v>
      </c>
      <c r="I520">
        <f t="shared" si="103"/>
        <v>0</v>
      </c>
      <c r="J520">
        <v>1</v>
      </c>
      <c r="K520">
        <f t="shared" si="104"/>
        <v>3570</v>
      </c>
      <c r="L520" t="s">
        <v>37</v>
      </c>
      <c r="N520">
        <f t="shared" si="102"/>
        <v>1061.8608000000002</v>
      </c>
      <c r="O520">
        <f t="shared" si="105"/>
        <v>0.27360607459853259</v>
      </c>
      <c r="P520" t="s">
        <v>39</v>
      </c>
      <c r="Q520">
        <f t="shared" si="106"/>
        <v>1.8198879551820728</v>
      </c>
      <c r="R520">
        <f t="shared" si="107"/>
        <v>6497</v>
      </c>
      <c r="S520">
        <f t="shared" si="108"/>
        <v>6497</v>
      </c>
      <c r="T520">
        <v>6497</v>
      </c>
      <c r="U520">
        <f t="shared" si="109"/>
        <v>0</v>
      </c>
      <c r="V520">
        <v>1</v>
      </c>
      <c r="W520">
        <v>0.22500000000000001</v>
      </c>
      <c r="X520">
        <f t="shared" si="110"/>
        <v>1461.825</v>
      </c>
      <c r="Y520">
        <f t="shared" si="111"/>
        <v>1461.825</v>
      </c>
      <c r="Z520">
        <f t="shared" si="112"/>
        <v>0</v>
      </c>
      <c r="AB520" t="s">
        <v>40</v>
      </c>
    </row>
    <row r="521" spans="1:28" x14ac:dyDescent="0.25">
      <c r="A521" t="s">
        <v>667</v>
      </c>
      <c r="B521" t="s">
        <v>678</v>
      </c>
      <c r="D521" t="s">
        <v>679</v>
      </c>
      <c r="E521" t="s">
        <v>417</v>
      </c>
      <c r="F521">
        <v>3990</v>
      </c>
      <c r="G521">
        <v>3990</v>
      </c>
      <c r="H521">
        <v>1</v>
      </c>
      <c r="I521">
        <f t="shared" si="103"/>
        <v>0</v>
      </c>
      <c r="J521">
        <v>1</v>
      </c>
      <c r="K521">
        <f t="shared" si="104"/>
        <v>3990</v>
      </c>
      <c r="L521" t="s">
        <v>37</v>
      </c>
      <c r="N521">
        <f t="shared" si="102"/>
        <v>1186.7856000000002</v>
      </c>
      <c r="O521">
        <f t="shared" si="105"/>
        <v>0.27516797214969529</v>
      </c>
      <c r="P521" t="s">
        <v>39</v>
      </c>
      <c r="Q521">
        <f t="shared" si="106"/>
        <v>1.8238095238095238</v>
      </c>
      <c r="R521">
        <f t="shared" si="107"/>
        <v>7277</v>
      </c>
      <c r="S521">
        <f t="shared" si="108"/>
        <v>7277</v>
      </c>
      <c r="T521">
        <v>7277</v>
      </c>
      <c r="U521">
        <f t="shared" si="109"/>
        <v>0</v>
      </c>
      <c r="V521">
        <v>1</v>
      </c>
      <c r="W521">
        <v>0.22500000000000001</v>
      </c>
      <c r="X521">
        <f t="shared" si="110"/>
        <v>1637.325</v>
      </c>
      <c r="Y521">
        <f t="shared" si="111"/>
        <v>1637.325</v>
      </c>
      <c r="Z521">
        <f t="shared" si="112"/>
        <v>0</v>
      </c>
      <c r="AB521" t="s">
        <v>40</v>
      </c>
    </row>
    <row r="522" spans="1:28" x14ac:dyDescent="0.25">
      <c r="A522" t="s">
        <v>667</v>
      </c>
      <c r="B522" t="s">
        <v>680</v>
      </c>
      <c r="D522" t="s">
        <v>681</v>
      </c>
      <c r="E522" t="s">
        <v>417</v>
      </c>
      <c r="F522">
        <v>4420</v>
      </c>
      <c r="G522">
        <v>4420</v>
      </c>
      <c r="H522">
        <v>1</v>
      </c>
      <c r="I522">
        <f t="shared" si="103"/>
        <v>0</v>
      </c>
      <c r="J522">
        <v>1</v>
      </c>
      <c r="K522">
        <f t="shared" si="104"/>
        <v>4420</v>
      </c>
      <c r="L522" t="s">
        <v>37</v>
      </c>
      <c r="N522">
        <f t="shared" si="102"/>
        <v>1314.6848000000002</v>
      </c>
      <c r="O522">
        <f t="shared" si="105"/>
        <v>0.27478670031580532</v>
      </c>
      <c r="P522" t="s">
        <v>39</v>
      </c>
      <c r="Q522">
        <f t="shared" si="106"/>
        <v>1.8228506787330316</v>
      </c>
      <c r="R522">
        <f t="shared" si="107"/>
        <v>8057</v>
      </c>
      <c r="S522">
        <f t="shared" si="108"/>
        <v>8057</v>
      </c>
      <c r="T522">
        <v>8057</v>
      </c>
      <c r="U522">
        <f t="shared" si="109"/>
        <v>0</v>
      </c>
      <c r="V522">
        <v>1</v>
      </c>
      <c r="W522">
        <v>0.22500000000000001</v>
      </c>
      <c r="X522">
        <f t="shared" si="110"/>
        <v>1812.825</v>
      </c>
      <c r="Y522">
        <f t="shared" si="111"/>
        <v>1812.825</v>
      </c>
      <c r="Z522">
        <f t="shared" si="112"/>
        <v>0</v>
      </c>
      <c r="AB522" t="s">
        <v>40</v>
      </c>
    </row>
    <row r="523" spans="1:28" x14ac:dyDescent="0.25">
      <c r="A523" t="s">
        <v>667</v>
      </c>
      <c r="B523" t="s">
        <v>682</v>
      </c>
      <c r="D523" t="s">
        <v>683</v>
      </c>
      <c r="E523" t="s">
        <v>417</v>
      </c>
      <c r="F523">
        <v>3360</v>
      </c>
      <c r="G523">
        <v>3360</v>
      </c>
      <c r="H523">
        <v>1</v>
      </c>
      <c r="I523">
        <f t="shared" si="103"/>
        <v>0</v>
      </c>
      <c r="J523">
        <v>1</v>
      </c>
      <c r="K523">
        <f t="shared" si="104"/>
        <v>3360</v>
      </c>
      <c r="L523" t="s">
        <v>37</v>
      </c>
      <c r="N523">
        <f t="shared" si="102"/>
        <v>999.39840000000015</v>
      </c>
      <c r="O523">
        <f t="shared" si="105"/>
        <v>0.27291362470671682</v>
      </c>
      <c r="P523" t="s">
        <v>39</v>
      </c>
      <c r="Q523">
        <f t="shared" si="106"/>
        <v>1.818154761904762</v>
      </c>
      <c r="R523">
        <f t="shared" si="107"/>
        <v>6109</v>
      </c>
      <c r="S523">
        <f t="shared" si="108"/>
        <v>6109</v>
      </c>
      <c r="T523">
        <v>6109</v>
      </c>
      <c r="U523">
        <f t="shared" si="109"/>
        <v>0</v>
      </c>
      <c r="V523">
        <v>1</v>
      </c>
      <c r="W523">
        <v>0.22500000000000001</v>
      </c>
      <c r="X523">
        <f t="shared" si="110"/>
        <v>1374.5250000000001</v>
      </c>
      <c r="Y523">
        <f t="shared" si="111"/>
        <v>1374.5250000000001</v>
      </c>
      <c r="Z523">
        <f t="shared" si="112"/>
        <v>0</v>
      </c>
      <c r="AB523" t="s">
        <v>40</v>
      </c>
    </row>
    <row r="524" spans="1:28" x14ac:dyDescent="0.25">
      <c r="A524" t="s">
        <v>667</v>
      </c>
      <c r="B524" t="s">
        <v>684</v>
      </c>
      <c r="D524" t="s">
        <v>685</v>
      </c>
      <c r="E524" t="s">
        <v>417</v>
      </c>
      <c r="F524">
        <v>3130</v>
      </c>
      <c r="G524">
        <v>3130</v>
      </c>
      <c r="H524">
        <v>1</v>
      </c>
      <c r="I524">
        <f t="shared" si="103"/>
        <v>0</v>
      </c>
      <c r="J524">
        <v>1</v>
      </c>
      <c r="K524">
        <f t="shared" si="104"/>
        <v>3130</v>
      </c>
      <c r="L524" t="s">
        <v>37</v>
      </c>
      <c r="N524">
        <f t="shared" si="102"/>
        <v>930.98720000000014</v>
      </c>
      <c r="O524">
        <f t="shared" si="105"/>
        <v>0.27636920446154428</v>
      </c>
      <c r="P524" t="s">
        <v>39</v>
      </c>
      <c r="Q524">
        <f t="shared" si="106"/>
        <v>1.8268370607028754</v>
      </c>
      <c r="R524">
        <f t="shared" si="107"/>
        <v>5718</v>
      </c>
      <c r="S524">
        <f t="shared" si="108"/>
        <v>5718</v>
      </c>
      <c r="T524">
        <v>5718</v>
      </c>
      <c r="U524">
        <f t="shared" si="109"/>
        <v>0</v>
      </c>
      <c r="V524">
        <v>1</v>
      </c>
      <c r="W524">
        <v>0.22500000000000001</v>
      </c>
      <c r="X524">
        <f t="shared" si="110"/>
        <v>1286.55</v>
      </c>
      <c r="Y524">
        <f t="shared" si="111"/>
        <v>1286.55</v>
      </c>
      <c r="Z524">
        <f t="shared" si="112"/>
        <v>0</v>
      </c>
      <c r="AB524" t="s">
        <v>40</v>
      </c>
    </row>
    <row r="525" spans="1:28" x14ac:dyDescent="0.25">
      <c r="A525" t="s">
        <v>667</v>
      </c>
      <c r="B525" t="s">
        <v>686</v>
      </c>
      <c r="D525" t="s">
        <v>687</v>
      </c>
      <c r="E525" t="s">
        <v>417</v>
      </c>
      <c r="F525">
        <v>3360</v>
      </c>
      <c r="G525">
        <v>3360</v>
      </c>
      <c r="H525">
        <v>1</v>
      </c>
      <c r="I525">
        <f t="shared" si="103"/>
        <v>0</v>
      </c>
      <c r="J525">
        <v>1</v>
      </c>
      <c r="K525">
        <f t="shared" si="104"/>
        <v>3360</v>
      </c>
      <c r="L525" t="s">
        <v>37</v>
      </c>
      <c r="N525">
        <f t="shared" si="102"/>
        <v>999.39840000000015</v>
      </c>
      <c r="O525">
        <f t="shared" si="105"/>
        <v>0.27291362470671682</v>
      </c>
      <c r="P525" t="s">
        <v>39</v>
      </c>
      <c r="Q525">
        <f t="shared" si="106"/>
        <v>1.818154761904762</v>
      </c>
      <c r="R525">
        <f t="shared" si="107"/>
        <v>6109</v>
      </c>
      <c r="S525">
        <f t="shared" si="108"/>
        <v>6109</v>
      </c>
      <c r="T525">
        <v>6109</v>
      </c>
      <c r="U525">
        <f t="shared" si="109"/>
        <v>0</v>
      </c>
      <c r="V525">
        <v>1</v>
      </c>
      <c r="W525">
        <v>0.22500000000000001</v>
      </c>
      <c r="X525">
        <f t="shared" si="110"/>
        <v>1374.5250000000001</v>
      </c>
      <c r="Y525">
        <f t="shared" si="111"/>
        <v>1374.5250000000001</v>
      </c>
      <c r="Z525">
        <f t="shared" si="112"/>
        <v>0</v>
      </c>
      <c r="AB525" t="s">
        <v>40</v>
      </c>
    </row>
    <row r="526" spans="1:28" x14ac:dyDescent="0.25">
      <c r="A526" t="s">
        <v>667</v>
      </c>
      <c r="B526" t="s">
        <v>688</v>
      </c>
      <c r="D526" t="s">
        <v>689</v>
      </c>
      <c r="E526" t="s">
        <v>417</v>
      </c>
      <c r="F526">
        <v>3420</v>
      </c>
      <c r="G526">
        <v>3420</v>
      </c>
      <c r="H526">
        <v>1</v>
      </c>
      <c r="I526">
        <f t="shared" si="103"/>
        <v>0</v>
      </c>
      <c r="J526">
        <v>1</v>
      </c>
      <c r="K526">
        <f t="shared" si="104"/>
        <v>3420</v>
      </c>
      <c r="L526" t="s">
        <v>37</v>
      </c>
      <c r="N526">
        <f t="shared" si="102"/>
        <v>1017.2448000000002</v>
      </c>
      <c r="O526">
        <f t="shared" si="105"/>
        <v>0.27511816578483234</v>
      </c>
      <c r="P526" t="s">
        <v>39</v>
      </c>
      <c r="Q526">
        <f t="shared" si="106"/>
        <v>1.8236842105263158</v>
      </c>
      <c r="R526">
        <f t="shared" si="107"/>
        <v>6237</v>
      </c>
      <c r="S526">
        <f t="shared" si="108"/>
        <v>6237</v>
      </c>
      <c r="T526">
        <v>6237</v>
      </c>
      <c r="U526">
        <f t="shared" si="109"/>
        <v>0</v>
      </c>
      <c r="V526">
        <v>1</v>
      </c>
      <c r="W526">
        <v>0.22500000000000001</v>
      </c>
      <c r="X526">
        <f t="shared" si="110"/>
        <v>1403.325</v>
      </c>
      <c r="Y526">
        <f t="shared" si="111"/>
        <v>1403.325</v>
      </c>
      <c r="Z526">
        <f t="shared" si="112"/>
        <v>0</v>
      </c>
      <c r="AB526" t="s">
        <v>40</v>
      </c>
    </row>
    <row r="527" spans="1:28" x14ac:dyDescent="0.25">
      <c r="A527" t="s">
        <v>667</v>
      </c>
      <c r="B527" t="s">
        <v>690</v>
      </c>
      <c r="D527" t="s">
        <v>691</v>
      </c>
      <c r="E527" t="s">
        <v>417</v>
      </c>
      <c r="F527">
        <v>3930</v>
      </c>
      <c r="G527">
        <v>3930</v>
      </c>
      <c r="H527">
        <v>1</v>
      </c>
      <c r="I527">
        <f t="shared" si="103"/>
        <v>0</v>
      </c>
      <c r="J527">
        <v>1</v>
      </c>
      <c r="K527">
        <f t="shared" si="104"/>
        <v>3930</v>
      </c>
      <c r="L527" t="s">
        <v>37</v>
      </c>
      <c r="N527">
        <f t="shared" si="102"/>
        <v>1168.9392</v>
      </c>
      <c r="O527">
        <f t="shared" si="105"/>
        <v>0.27318336131318782</v>
      </c>
      <c r="P527" t="s">
        <v>39</v>
      </c>
      <c r="Q527">
        <f t="shared" si="106"/>
        <v>1.8188295165394401</v>
      </c>
      <c r="R527">
        <f t="shared" si="107"/>
        <v>7148</v>
      </c>
      <c r="S527">
        <f t="shared" si="108"/>
        <v>7148</v>
      </c>
      <c r="T527">
        <v>7148</v>
      </c>
      <c r="U527">
        <f t="shared" si="109"/>
        <v>0</v>
      </c>
      <c r="V527">
        <v>1</v>
      </c>
      <c r="W527">
        <v>0.22500000000000001</v>
      </c>
      <c r="X527">
        <f t="shared" si="110"/>
        <v>1608.3</v>
      </c>
      <c r="Y527">
        <f t="shared" si="111"/>
        <v>1608.3</v>
      </c>
      <c r="Z527">
        <f t="shared" si="112"/>
        <v>0</v>
      </c>
      <c r="AB527" t="s">
        <v>40</v>
      </c>
    </row>
    <row r="528" spans="1:28" x14ac:dyDescent="0.25">
      <c r="A528" t="s">
        <v>667</v>
      </c>
      <c r="B528" t="s">
        <v>692</v>
      </c>
      <c r="D528" t="s">
        <v>693</v>
      </c>
      <c r="E528" t="s">
        <v>417</v>
      </c>
      <c r="F528">
        <v>4210</v>
      </c>
      <c r="G528">
        <v>4210</v>
      </c>
      <c r="H528">
        <v>1</v>
      </c>
      <c r="I528">
        <f t="shared" si="103"/>
        <v>0</v>
      </c>
      <c r="J528">
        <v>1</v>
      </c>
      <c r="K528">
        <f t="shared" si="104"/>
        <v>4210</v>
      </c>
      <c r="L528" t="s">
        <v>37</v>
      </c>
      <c r="N528">
        <f t="shared" si="102"/>
        <v>1252.2224000000003</v>
      </c>
      <c r="O528">
        <f t="shared" si="105"/>
        <v>0.27420019706717652</v>
      </c>
      <c r="P528" t="s">
        <v>39</v>
      </c>
      <c r="Q528">
        <f t="shared" si="106"/>
        <v>1.821377672209026</v>
      </c>
      <c r="R528">
        <f t="shared" si="107"/>
        <v>7668</v>
      </c>
      <c r="S528">
        <f t="shared" si="108"/>
        <v>7668</v>
      </c>
      <c r="T528">
        <v>7668</v>
      </c>
      <c r="U528">
        <f t="shared" si="109"/>
        <v>0</v>
      </c>
      <c r="V528">
        <v>1</v>
      </c>
      <c r="W528">
        <v>0.22500000000000001</v>
      </c>
      <c r="X528">
        <f t="shared" si="110"/>
        <v>1725.3</v>
      </c>
      <c r="Y528">
        <f t="shared" si="111"/>
        <v>1725.3</v>
      </c>
      <c r="Z528">
        <f t="shared" si="112"/>
        <v>0</v>
      </c>
      <c r="AB528" t="s">
        <v>40</v>
      </c>
    </row>
    <row r="529" spans="1:28" x14ac:dyDescent="0.25">
      <c r="A529" t="s">
        <v>667</v>
      </c>
      <c r="B529" t="s">
        <v>694</v>
      </c>
      <c r="D529" t="s">
        <v>695</v>
      </c>
      <c r="E529" t="s">
        <v>417</v>
      </c>
      <c r="F529">
        <v>4560</v>
      </c>
      <c r="G529">
        <v>4560</v>
      </c>
      <c r="H529">
        <v>1</v>
      </c>
      <c r="I529">
        <f t="shared" si="103"/>
        <v>0</v>
      </c>
      <c r="J529">
        <v>1</v>
      </c>
      <c r="K529">
        <f t="shared" si="104"/>
        <v>4560</v>
      </c>
      <c r="L529" t="s">
        <v>37</v>
      </c>
      <c r="N529">
        <f t="shared" si="102"/>
        <v>1356.3264000000001</v>
      </c>
      <c r="O529">
        <f t="shared" si="105"/>
        <v>0.27537957286532833</v>
      </c>
      <c r="P529" t="s">
        <v>39</v>
      </c>
      <c r="Q529">
        <f t="shared" si="106"/>
        <v>1.8243421052631579</v>
      </c>
      <c r="R529">
        <f t="shared" si="107"/>
        <v>8319</v>
      </c>
      <c r="S529">
        <f t="shared" si="108"/>
        <v>8319</v>
      </c>
      <c r="T529">
        <v>8319</v>
      </c>
      <c r="U529">
        <f t="shared" si="109"/>
        <v>0</v>
      </c>
      <c r="V529">
        <v>1</v>
      </c>
      <c r="W529">
        <v>0.22500000000000001</v>
      </c>
      <c r="X529">
        <f t="shared" si="110"/>
        <v>1871.7750000000001</v>
      </c>
      <c r="Y529">
        <f t="shared" si="111"/>
        <v>1871.7750000000001</v>
      </c>
      <c r="Z529">
        <f t="shared" si="112"/>
        <v>0</v>
      </c>
      <c r="AB529" t="s">
        <v>40</v>
      </c>
    </row>
    <row r="530" spans="1:28" x14ac:dyDescent="0.25">
      <c r="A530" t="s">
        <v>667</v>
      </c>
      <c r="B530" t="s">
        <v>696</v>
      </c>
      <c r="D530" t="s">
        <v>697</v>
      </c>
      <c r="E530" t="s">
        <v>417</v>
      </c>
      <c r="F530">
        <v>3840</v>
      </c>
      <c r="G530">
        <v>3840</v>
      </c>
      <c r="H530">
        <v>1</v>
      </c>
      <c r="I530">
        <f t="shared" si="103"/>
        <v>0</v>
      </c>
      <c r="J530">
        <v>1</v>
      </c>
      <c r="K530">
        <f t="shared" si="104"/>
        <v>3840</v>
      </c>
      <c r="L530" t="s">
        <v>37</v>
      </c>
      <c r="N530">
        <f t="shared" si="102"/>
        <v>1142.1696000000002</v>
      </c>
      <c r="O530">
        <f t="shared" si="105"/>
        <v>0.27605400266210295</v>
      </c>
      <c r="P530" t="s">
        <v>39</v>
      </c>
      <c r="Q530">
        <f t="shared" si="106"/>
        <v>1.8260416666666666</v>
      </c>
      <c r="R530">
        <f t="shared" si="107"/>
        <v>7012</v>
      </c>
      <c r="S530">
        <f t="shared" si="108"/>
        <v>7012</v>
      </c>
      <c r="T530">
        <v>7012</v>
      </c>
      <c r="U530">
        <f t="shared" si="109"/>
        <v>0</v>
      </c>
      <c r="V530">
        <v>1</v>
      </c>
      <c r="W530">
        <v>0.22500000000000001</v>
      </c>
      <c r="X530">
        <f t="shared" si="110"/>
        <v>1577.7</v>
      </c>
      <c r="Y530">
        <f t="shared" si="111"/>
        <v>1577.7</v>
      </c>
      <c r="Z530">
        <f t="shared" si="112"/>
        <v>0</v>
      </c>
      <c r="AB530" t="s">
        <v>40</v>
      </c>
    </row>
    <row r="531" spans="1:28" x14ac:dyDescent="0.25">
      <c r="A531" t="s">
        <v>667</v>
      </c>
      <c r="B531" t="s">
        <v>698</v>
      </c>
      <c r="D531" t="s">
        <v>699</v>
      </c>
      <c r="E531" t="s">
        <v>417</v>
      </c>
      <c r="F531">
        <v>3640</v>
      </c>
      <c r="G531">
        <v>3640</v>
      </c>
      <c r="H531">
        <v>1</v>
      </c>
      <c r="I531">
        <f t="shared" si="103"/>
        <v>0</v>
      </c>
      <c r="J531">
        <v>1</v>
      </c>
      <c r="K531">
        <f t="shared" si="104"/>
        <v>3640</v>
      </c>
      <c r="L531" t="s">
        <v>37</v>
      </c>
      <c r="N531">
        <f t="shared" si="102"/>
        <v>1082.6816000000003</v>
      </c>
      <c r="O531">
        <f t="shared" si="105"/>
        <v>0.27345338634724087</v>
      </c>
      <c r="P531" t="s">
        <v>39</v>
      </c>
      <c r="Q531">
        <f t="shared" si="106"/>
        <v>1.8195054945054945</v>
      </c>
      <c r="R531">
        <f t="shared" si="107"/>
        <v>6623</v>
      </c>
      <c r="S531">
        <f t="shared" si="108"/>
        <v>6623</v>
      </c>
      <c r="T531">
        <v>6623</v>
      </c>
      <c r="U531">
        <f t="shared" si="109"/>
        <v>0</v>
      </c>
      <c r="V531">
        <v>1</v>
      </c>
      <c r="W531">
        <v>0.22500000000000001</v>
      </c>
      <c r="X531">
        <f t="shared" si="110"/>
        <v>1490.175</v>
      </c>
      <c r="Y531">
        <f t="shared" si="111"/>
        <v>1490.175</v>
      </c>
      <c r="Z531">
        <f t="shared" si="112"/>
        <v>0</v>
      </c>
      <c r="AB531" t="s">
        <v>40</v>
      </c>
    </row>
    <row r="532" spans="1:28" x14ac:dyDescent="0.25">
      <c r="A532" t="s">
        <v>667</v>
      </c>
      <c r="B532" t="s">
        <v>700</v>
      </c>
      <c r="D532" t="s">
        <v>701</v>
      </c>
      <c r="E532" t="s">
        <v>417</v>
      </c>
      <c r="F532">
        <v>3840</v>
      </c>
      <c r="G532">
        <v>3840</v>
      </c>
      <c r="H532">
        <v>1</v>
      </c>
      <c r="I532">
        <f t="shared" si="103"/>
        <v>0</v>
      </c>
      <c r="J532">
        <v>1</v>
      </c>
      <c r="K532">
        <f t="shared" si="104"/>
        <v>3840</v>
      </c>
      <c r="L532" t="s">
        <v>37</v>
      </c>
      <c r="N532">
        <f t="shared" si="102"/>
        <v>1142.1696000000002</v>
      </c>
      <c r="O532">
        <f t="shared" si="105"/>
        <v>0.27770214380572933</v>
      </c>
      <c r="P532" t="s">
        <v>39</v>
      </c>
      <c r="Q532">
        <f t="shared" si="106"/>
        <v>1.8302083333333334</v>
      </c>
      <c r="R532">
        <f t="shared" si="107"/>
        <v>7028</v>
      </c>
      <c r="S532">
        <f t="shared" si="108"/>
        <v>7028</v>
      </c>
      <c r="T532">
        <v>7028</v>
      </c>
      <c r="U532">
        <f t="shared" si="109"/>
        <v>0</v>
      </c>
      <c r="V532">
        <v>1</v>
      </c>
      <c r="W532">
        <v>0.22500000000000001</v>
      </c>
      <c r="X532">
        <f t="shared" si="110"/>
        <v>1581.3</v>
      </c>
      <c r="Y532">
        <f t="shared" si="111"/>
        <v>1581.3</v>
      </c>
      <c r="Z532">
        <f t="shared" si="112"/>
        <v>0</v>
      </c>
      <c r="AB532" t="s">
        <v>40</v>
      </c>
    </row>
    <row r="533" spans="1:28" x14ac:dyDescent="0.25">
      <c r="A533" t="s">
        <v>667</v>
      </c>
      <c r="B533" t="s">
        <v>702</v>
      </c>
      <c r="D533" t="s">
        <v>703</v>
      </c>
      <c r="E533" t="s">
        <v>417</v>
      </c>
      <c r="F533">
        <v>3940</v>
      </c>
      <c r="G533">
        <v>3940</v>
      </c>
      <c r="H533">
        <v>1</v>
      </c>
      <c r="I533">
        <f t="shared" si="103"/>
        <v>0</v>
      </c>
      <c r="J533">
        <v>1</v>
      </c>
      <c r="K533">
        <f t="shared" si="104"/>
        <v>3940</v>
      </c>
      <c r="L533" t="s">
        <v>37</v>
      </c>
      <c r="N533">
        <f t="shared" si="102"/>
        <v>1171.9136000000001</v>
      </c>
      <c r="O533">
        <f t="shared" si="105"/>
        <v>0.27427826544672018</v>
      </c>
      <c r="P533" t="s">
        <v>39</v>
      </c>
      <c r="Q533">
        <f t="shared" si="106"/>
        <v>1.8215736040609136</v>
      </c>
      <c r="R533">
        <f t="shared" si="107"/>
        <v>7177</v>
      </c>
      <c r="S533">
        <f t="shared" si="108"/>
        <v>7177</v>
      </c>
      <c r="T533">
        <v>7177</v>
      </c>
      <c r="U533">
        <f t="shared" si="109"/>
        <v>0</v>
      </c>
      <c r="V533">
        <v>1</v>
      </c>
      <c r="W533">
        <v>0.22500000000000001</v>
      </c>
      <c r="X533">
        <f t="shared" si="110"/>
        <v>1614.825</v>
      </c>
      <c r="Y533">
        <f t="shared" si="111"/>
        <v>1614.825</v>
      </c>
      <c r="Z533">
        <f t="shared" si="112"/>
        <v>0</v>
      </c>
      <c r="AB533" t="s">
        <v>40</v>
      </c>
    </row>
    <row r="534" spans="1:28" x14ac:dyDescent="0.25">
      <c r="A534" t="s">
        <v>667</v>
      </c>
      <c r="B534" t="s">
        <v>704</v>
      </c>
      <c r="D534" t="s">
        <v>705</v>
      </c>
      <c r="E534" t="s">
        <v>417</v>
      </c>
      <c r="F534">
        <v>4470</v>
      </c>
      <c r="G534">
        <v>4470</v>
      </c>
      <c r="H534">
        <v>1</v>
      </c>
      <c r="I534">
        <f t="shared" si="103"/>
        <v>0</v>
      </c>
      <c r="J534">
        <v>1</v>
      </c>
      <c r="K534">
        <f t="shared" si="104"/>
        <v>4470</v>
      </c>
      <c r="L534" t="s">
        <v>37</v>
      </c>
      <c r="N534">
        <f t="shared" si="102"/>
        <v>1329.5568000000001</v>
      </c>
      <c r="O534">
        <f t="shared" si="105"/>
        <v>0.27548536864476053</v>
      </c>
      <c r="P534" t="s">
        <v>39</v>
      </c>
      <c r="Q534">
        <f t="shared" si="106"/>
        <v>1.8246085011185682</v>
      </c>
      <c r="R534">
        <f t="shared" si="107"/>
        <v>8156</v>
      </c>
      <c r="S534">
        <f t="shared" si="108"/>
        <v>8156</v>
      </c>
      <c r="T534">
        <v>8156</v>
      </c>
      <c r="U534">
        <f t="shared" si="109"/>
        <v>0</v>
      </c>
      <c r="V534">
        <v>1</v>
      </c>
      <c r="W534">
        <v>0.22500000000000001</v>
      </c>
      <c r="X534">
        <f t="shared" si="110"/>
        <v>1835.1000000000001</v>
      </c>
      <c r="Y534">
        <f t="shared" si="111"/>
        <v>1835.1000000000001</v>
      </c>
      <c r="Z534">
        <f t="shared" si="112"/>
        <v>0</v>
      </c>
      <c r="AB534" t="s">
        <v>40</v>
      </c>
    </row>
    <row r="535" spans="1:28" x14ac:dyDescent="0.25">
      <c r="A535" t="s">
        <v>667</v>
      </c>
      <c r="B535" t="s">
        <v>706</v>
      </c>
      <c r="D535" t="s">
        <v>707</v>
      </c>
      <c r="E535" t="s">
        <v>417</v>
      </c>
      <c r="F535">
        <v>4780</v>
      </c>
      <c r="G535">
        <v>4780</v>
      </c>
      <c r="H535">
        <v>1</v>
      </c>
      <c r="I535">
        <f t="shared" si="103"/>
        <v>0</v>
      </c>
      <c r="J535">
        <v>1</v>
      </c>
      <c r="K535">
        <f t="shared" si="104"/>
        <v>4780</v>
      </c>
      <c r="L535" t="s">
        <v>37</v>
      </c>
      <c r="N535">
        <f t="shared" si="102"/>
        <v>1421.7632000000001</v>
      </c>
      <c r="O535">
        <f t="shared" si="105"/>
        <v>0.27410137213606478</v>
      </c>
      <c r="P535" t="s">
        <v>39</v>
      </c>
      <c r="Q535">
        <f t="shared" si="106"/>
        <v>1.8211297071129706</v>
      </c>
      <c r="R535">
        <f t="shared" si="107"/>
        <v>8705</v>
      </c>
      <c r="S535">
        <f t="shared" si="108"/>
        <v>8705</v>
      </c>
      <c r="T535">
        <v>8705</v>
      </c>
      <c r="U535">
        <f t="shared" si="109"/>
        <v>0</v>
      </c>
      <c r="V535">
        <v>1</v>
      </c>
      <c r="W535">
        <v>0.22500000000000001</v>
      </c>
      <c r="X535">
        <f t="shared" si="110"/>
        <v>1958.625</v>
      </c>
      <c r="Y535">
        <f t="shared" si="111"/>
        <v>1958.625</v>
      </c>
      <c r="Z535">
        <f t="shared" si="112"/>
        <v>0</v>
      </c>
      <c r="AB535" t="s">
        <v>40</v>
      </c>
    </row>
    <row r="536" spans="1:28" x14ac:dyDescent="0.25">
      <c r="A536" t="s">
        <v>667</v>
      </c>
      <c r="B536" t="s">
        <v>708</v>
      </c>
      <c r="D536" t="s">
        <v>709</v>
      </c>
      <c r="E536" t="s">
        <v>417</v>
      </c>
      <c r="F536">
        <v>5500</v>
      </c>
      <c r="G536">
        <v>5500</v>
      </c>
      <c r="H536">
        <v>1</v>
      </c>
      <c r="I536">
        <f t="shared" si="103"/>
        <v>0</v>
      </c>
      <c r="J536">
        <v>1</v>
      </c>
      <c r="K536">
        <f t="shared" si="104"/>
        <v>5500</v>
      </c>
      <c r="L536" t="s">
        <v>37</v>
      </c>
      <c r="N536">
        <f t="shared" si="102"/>
        <v>1635.9200000000003</v>
      </c>
      <c r="O536">
        <f t="shared" si="105"/>
        <v>0.27401342430798231</v>
      </c>
      <c r="P536" t="s">
        <v>39</v>
      </c>
      <c r="Q536">
        <f t="shared" si="106"/>
        <v>1.8209090909090908</v>
      </c>
      <c r="R536">
        <f t="shared" si="107"/>
        <v>10015</v>
      </c>
      <c r="S536">
        <f t="shared" si="108"/>
        <v>10015</v>
      </c>
      <c r="T536">
        <v>10015</v>
      </c>
      <c r="U536">
        <f t="shared" si="109"/>
        <v>0</v>
      </c>
      <c r="V536">
        <v>1</v>
      </c>
      <c r="W536">
        <v>0.22500000000000001</v>
      </c>
      <c r="X536">
        <f t="shared" si="110"/>
        <v>2253.375</v>
      </c>
      <c r="Y536">
        <f t="shared" si="111"/>
        <v>2253.375</v>
      </c>
      <c r="Z536">
        <f t="shared" si="112"/>
        <v>0</v>
      </c>
      <c r="AB536" t="s">
        <v>40</v>
      </c>
    </row>
    <row r="537" spans="1:28" x14ac:dyDescent="0.25">
      <c r="A537" t="s">
        <v>667</v>
      </c>
      <c r="B537" t="s">
        <v>710</v>
      </c>
      <c r="D537" t="s">
        <v>711</v>
      </c>
      <c r="E537" t="s">
        <v>417</v>
      </c>
      <c r="F537">
        <v>8743</v>
      </c>
      <c r="G537">
        <v>8743</v>
      </c>
      <c r="H537">
        <v>1</v>
      </c>
      <c r="I537">
        <f t="shared" si="103"/>
        <v>0</v>
      </c>
      <c r="J537">
        <v>0.48</v>
      </c>
      <c r="K537">
        <f t="shared" si="104"/>
        <v>4196.6399999999994</v>
      </c>
      <c r="L537" t="s">
        <v>37</v>
      </c>
      <c r="N537">
        <f t="shared" si="102"/>
        <v>1248.2486016</v>
      </c>
      <c r="O537" t="e">
        <f t="shared" si="105"/>
        <v>#VALUE!</v>
      </c>
      <c r="Q537" t="e">
        <f t="shared" si="106"/>
        <v>#VALUE!</v>
      </c>
      <c r="R537" t="e">
        <f t="shared" si="107"/>
        <v>#VALUE!</v>
      </c>
      <c r="S537" t="e">
        <f t="shared" si="108"/>
        <v>#VALUE!</v>
      </c>
      <c r="T537" t="s">
        <v>712</v>
      </c>
      <c r="U537" t="e">
        <f t="shared" si="109"/>
        <v>#VALUE!</v>
      </c>
      <c r="X537" t="e">
        <f t="shared" si="110"/>
        <v>#VALUE!</v>
      </c>
      <c r="Y537" t="e">
        <f t="shared" si="111"/>
        <v>#VALUE!</v>
      </c>
      <c r="Z537" t="e">
        <f t="shared" si="112"/>
        <v>#VALUE!</v>
      </c>
      <c r="AB537" t="s">
        <v>40</v>
      </c>
    </row>
    <row r="538" spans="1:28" x14ac:dyDescent="0.25">
      <c r="A538" t="s">
        <v>667</v>
      </c>
      <c r="B538" t="s">
        <v>713</v>
      </c>
      <c r="D538" t="s">
        <v>714</v>
      </c>
      <c r="E538" t="s">
        <v>417</v>
      </c>
      <c r="F538">
        <v>9619</v>
      </c>
      <c r="G538">
        <v>9619</v>
      </c>
      <c r="H538">
        <v>1</v>
      </c>
      <c r="I538">
        <f t="shared" si="103"/>
        <v>0</v>
      </c>
      <c r="J538">
        <v>0.48</v>
      </c>
      <c r="K538">
        <f t="shared" si="104"/>
        <v>4617.12</v>
      </c>
      <c r="L538" t="s">
        <v>37</v>
      </c>
      <c r="N538">
        <f t="shared" ref="N538:N553" si="113">K538*$N$2*$O$2</f>
        <v>1373.3161728000002</v>
      </c>
      <c r="O538" t="e">
        <f t="shared" si="105"/>
        <v>#VALUE!</v>
      </c>
      <c r="Q538" t="e">
        <f t="shared" si="106"/>
        <v>#VALUE!</v>
      </c>
      <c r="R538" t="e">
        <f t="shared" si="107"/>
        <v>#VALUE!</v>
      </c>
      <c r="S538" t="e">
        <f t="shared" si="108"/>
        <v>#VALUE!</v>
      </c>
      <c r="T538" t="s">
        <v>712</v>
      </c>
      <c r="U538" t="e">
        <f t="shared" si="109"/>
        <v>#VALUE!</v>
      </c>
      <c r="X538" t="e">
        <f t="shared" si="110"/>
        <v>#VALUE!</v>
      </c>
      <c r="Y538" t="e">
        <f t="shared" si="111"/>
        <v>#VALUE!</v>
      </c>
      <c r="Z538" t="e">
        <f t="shared" si="112"/>
        <v>#VALUE!</v>
      </c>
      <c r="AB538" t="s">
        <v>40</v>
      </c>
    </row>
    <row r="539" spans="1:28" x14ac:dyDescent="0.25">
      <c r="A539" t="s">
        <v>667</v>
      </c>
      <c r="B539" t="s">
        <v>715</v>
      </c>
      <c r="D539" t="s">
        <v>716</v>
      </c>
      <c r="E539" t="s">
        <v>417</v>
      </c>
      <c r="F539">
        <v>10362</v>
      </c>
      <c r="G539">
        <v>10362</v>
      </c>
      <c r="H539">
        <v>1</v>
      </c>
      <c r="I539">
        <f t="shared" si="103"/>
        <v>0</v>
      </c>
      <c r="J539">
        <v>0.48</v>
      </c>
      <c r="K539">
        <f t="shared" si="104"/>
        <v>4973.76</v>
      </c>
      <c r="L539" t="s">
        <v>37</v>
      </c>
      <c r="N539">
        <f t="shared" si="113"/>
        <v>1479.3951744000001</v>
      </c>
      <c r="O539" t="e">
        <f t="shared" si="105"/>
        <v>#VALUE!</v>
      </c>
      <c r="Q539" t="e">
        <f t="shared" si="106"/>
        <v>#VALUE!</v>
      </c>
      <c r="R539" t="e">
        <f t="shared" si="107"/>
        <v>#VALUE!</v>
      </c>
      <c r="S539" t="e">
        <f t="shared" si="108"/>
        <v>#VALUE!</v>
      </c>
      <c r="T539" t="s">
        <v>712</v>
      </c>
      <c r="U539" t="e">
        <f t="shared" si="109"/>
        <v>#VALUE!</v>
      </c>
      <c r="X539" t="e">
        <f t="shared" si="110"/>
        <v>#VALUE!</v>
      </c>
      <c r="Y539" t="e">
        <f t="shared" si="111"/>
        <v>#VALUE!</v>
      </c>
      <c r="Z539" t="e">
        <f t="shared" si="112"/>
        <v>#VALUE!</v>
      </c>
      <c r="AB539" t="s">
        <v>40</v>
      </c>
    </row>
    <row r="540" spans="1:28" x14ac:dyDescent="0.25">
      <c r="A540" t="s">
        <v>667</v>
      </c>
      <c r="B540" t="s">
        <v>717</v>
      </c>
      <c r="D540" t="s">
        <v>718</v>
      </c>
      <c r="E540" t="s">
        <v>417</v>
      </c>
      <c r="F540">
        <v>11829</v>
      </c>
      <c r="G540">
        <v>11829</v>
      </c>
      <c r="H540">
        <v>1</v>
      </c>
      <c r="I540">
        <f t="shared" si="103"/>
        <v>0</v>
      </c>
      <c r="J540">
        <v>0.48</v>
      </c>
      <c r="K540">
        <f t="shared" si="104"/>
        <v>5677.92</v>
      </c>
      <c r="L540" t="s">
        <v>37</v>
      </c>
      <c r="N540">
        <f t="shared" si="113"/>
        <v>1688.8405248000001</v>
      </c>
      <c r="O540" t="e">
        <f t="shared" si="105"/>
        <v>#VALUE!</v>
      </c>
      <c r="Q540" t="e">
        <f t="shared" si="106"/>
        <v>#VALUE!</v>
      </c>
      <c r="R540" t="e">
        <f t="shared" si="107"/>
        <v>#VALUE!</v>
      </c>
      <c r="S540" t="e">
        <f t="shared" si="108"/>
        <v>#VALUE!</v>
      </c>
      <c r="T540" t="s">
        <v>712</v>
      </c>
      <c r="U540" t="e">
        <f t="shared" si="109"/>
        <v>#VALUE!</v>
      </c>
      <c r="X540" t="e">
        <f t="shared" si="110"/>
        <v>#VALUE!</v>
      </c>
      <c r="Y540" t="e">
        <f t="shared" si="111"/>
        <v>#VALUE!</v>
      </c>
      <c r="Z540" t="e">
        <f t="shared" si="112"/>
        <v>#VALUE!</v>
      </c>
      <c r="AB540" t="s">
        <v>40</v>
      </c>
    </row>
    <row r="541" spans="1:28" x14ac:dyDescent="0.25">
      <c r="A541" t="s">
        <v>667</v>
      </c>
      <c r="B541" t="s">
        <v>719</v>
      </c>
      <c r="D541" t="s">
        <v>720</v>
      </c>
      <c r="E541" t="s">
        <v>417</v>
      </c>
      <c r="F541">
        <v>13448</v>
      </c>
      <c r="G541">
        <v>13448</v>
      </c>
      <c r="H541">
        <v>1</v>
      </c>
      <c r="I541">
        <f t="shared" si="103"/>
        <v>0</v>
      </c>
      <c r="J541">
        <v>0.48</v>
      </c>
      <c r="K541">
        <f t="shared" si="104"/>
        <v>6455.04</v>
      </c>
      <c r="L541" t="s">
        <v>37</v>
      </c>
      <c r="N541">
        <f t="shared" si="113"/>
        <v>1919.9870976000002</v>
      </c>
      <c r="O541" t="e">
        <f t="shared" si="105"/>
        <v>#VALUE!</v>
      </c>
      <c r="Q541" t="e">
        <f t="shared" si="106"/>
        <v>#VALUE!</v>
      </c>
      <c r="R541" t="e">
        <f t="shared" si="107"/>
        <v>#VALUE!</v>
      </c>
      <c r="S541" t="e">
        <f t="shared" si="108"/>
        <v>#VALUE!</v>
      </c>
      <c r="T541" t="s">
        <v>712</v>
      </c>
      <c r="U541" t="e">
        <f t="shared" si="109"/>
        <v>#VALUE!</v>
      </c>
      <c r="X541" t="e">
        <f t="shared" si="110"/>
        <v>#VALUE!</v>
      </c>
      <c r="Y541" t="e">
        <f t="shared" si="111"/>
        <v>#VALUE!</v>
      </c>
      <c r="Z541" t="e">
        <f t="shared" si="112"/>
        <v>#VALUE!</v>
      </c>
      <c r="AB541" t="s">
        <v>40</v>
      </c>
    </row>
    <row r="542" spans="1:28" x14ac:dyDescent="0.25">
      <c r="A542" t="s">
        <v>667</v>
      </c>
      <c r="B542" t="s">
        <v>721</v>
      </c>
      <c r="D542" t="s">
        <v>722</v>
      </c>
      <c r="E542" t="s">
        <v>417</v>
      </c>
      <c r="F542">
        <v>15352</v>
      </c>
      <c r="G542">
        <v>15352</v>
      </c>
      <c r="H542">
        <v>1</v>
      </c>
      <c r="I542">
        <f t="shared" si="103"/>
        <v>0</v>
      </c>
      <c r="J542">
        <v>0.48</v>
      </c>
      <c r="K542">
        <f t="shared" si="104"/>
        <v>7368.96</v>
      </c>
      <c r="L542" t="s">
        <v>37</v>
      </c>
      <c r="N542">
        <f t="shared" si="113"/>
        <v>2191.8234624000006</v>
      </c>
      <c r="O542" t="e">
        <f t="shared" si="105"/>
        <v>#VALUE!</v>
      </c>
      <c r="Q542" t="e">
        <f t="shared" si="106"/>
        <v>#VALUE!</v>
      </c>
      <c r="R542" t="e">
        <f t="shared" si="107"/>
        <v>#VALUE!</v>
      </c>
      <c r="S542" t="e">
        <f t="shared" si="108"/>
        <v>#VALUE!</v>
      </c>
      <c r="T542" t="s">
        <v>712</v>
      </c>
      <c r="U542" t="e">
        <f t="shared" si="109"/>
        <v>#VALUE!</v>
      </c>
      <c r="X542" t="e">
        <f t="shared" si="110"/>
        <v>#VALUE!</v>
      </c>
      <c r="Y542" t="e">
        <f t="shared" si="111"/>
        <v>#VALUE!</v>
      </c>
      <c r="Z542" t="e">
        <f t="shared" si="112"/>
        <v>#VALUE!</v>
      </c>
      <c r="AB542" t="s">
        <v>40</v>
      </c>
    </row>
    <row r="543" spans="1:28" x14ac:dyDescent="0.25">
      <c r="A543" t="s">
        <v>667</v>
      </c>
      <c r="B543" t="s">
        <v>723</v>
      </c>
      <c r="D543" t="s">
        <v>724</v>
      </c>
      <c r="E543" t="s">
        <v>417</v>
      </c>
      <c r="F543">
        <v>17010</v>
      </c>
      <c r="G543">
        <v>17010</v>
      </c>
      <c r="H543">
        <v>1</v>
      </c>
      <c r="I543">
        <f t="shared" si="103"/>
        <v>0</v>
      </c>
      <c r="J543">
        <v>0.48</v>
      </c>
      <c r="K543">
        <f t="shared" si="104"/>
        <v>8164.7999999999993</v>
      </c>
      <c r="L543" t="s">
        <v>37</v>
      </c>
      <c r="N543">
        <f t="shared" si="113"/>
        <v>2428.5381119999997</v>
      </c>
      <c r="O543" t="e">
        <f t="shared" si="105"/>
        <v>#VALUE!</v>
      </c>
      <c r="Q543" t="e">
        <f t="shared" si="106"/>
        <v>#VALUE!</v>
      </c>
      <c r="R543" t="e">
        <f t="shared" si="107"/>
        <v>#VALUE!</v>
      </c>
      <c r="S543" t="e">
        <f t="shared" si="108"/>
        <v>#VALUE!</v>
      </c>
      <c r="T543" t="s">
        <v>712</v>
      </c>
      <c r="U543" t="e">
        <f t="shared" si="109"/>
        <v>#VALUE!</v>
      </c>
      <c r="X543" t="e">
        <f t="shared" si="110"/>
        <v>#VALUE!</v>
      </c>
      <c r="Y543" t="e">
        <f t="shared" si="111"/>
        <v>#VALUE!</v>
      </c>
      <c r="Z543" t="e">
        <f t="shared" si="112"/>
        <v>#VALUE!</v>
      </c>
      <c r="AB543" t="s">
        <v>40</v>
      </c>
    </row>
    <row r="544" spans="1:28" x14ac:dyDescent="0.25">
      <c r="A544" t="s">
        <v>725</v>
      </c>
      <c r="B544" t="s">
        <v>726</v>
      </c>
      <c r="D544" t="s">
        <v>727</v>
      </c>
      <c r="E544" t="s">
        <v>417</v>
      </c>
      <c r="F544">
        <v>363238</v>
      </c>
      <c r="G544">
        <v>363238</v>
      </c>
      <c r="H544">
        <v>1</v>
      </c>
      <c r="I544">
        <f t="shared" ref="I544:I553" si="114">(G544-F544)/F544</f>
        <v>0</v>
      </c>
      <c r="J544">
        <v>0.4</v>
      </c>
      <c r="K544">
        <f t="shared" ref="K544:K553" si="115">F544*H544*J544</f>
        <v>145295.20000000001</v>
      </c>
      <c r="L544" t="s">
        <v>37</v>
      </c>
      <c r="N544">
        <f t="shared" si="113"/>
        <v>43216.60428800001</v>
      </c>
      <c r="O544">
        <f t="shared" ref="O544:O553" si="116">(X544-N544)/X544</f>
        <v>8.3586776106284011E-2</v>
      </c>
      <c r="P544" t="s">
        <v>39</v>
      </c>
      <c r="Q544">
        <f t="shared" ref="Q544:Q553" si="117">T544/F544</f>
        <v>0.57701286759645187</v>
      </c>
      <c r="R544">
        <f t="shared" ref="R544:R553" si="118">F544*Q544</f>
        <v>209592.99999999997</v>
      </c>
      <c r="S544">
        <f t="shared" ref="S544:S553" si="119">G544*Q544</f>
        <v>209592.99999999997</v>
      </c>
      <c r="T544">
        <v>209593</v>
      </c>
      <c r="U544">
        <f t="shared" ref="U544:U553" si="120">(T544-R544)/R544</f>
        <v>1.3885879040203492E-16</v>
      </c>
      <c r="V544">
        <v>1</v>
      </c>
      <c r="W544">
        <v>0.22500000000000001</v>
      </c>
      <c r="X544">
        <f t="shared" ref="X544:X553" si="121">R544*V544*W544</f>
        <v>47158.424999999996</v>
      </c>
      <c r="Y544">
        <f t="shared" ref="Y544:Y553" si="122">S544*W544*V544</f>
        <v>47158.424999999996</v>
      </c>
      <c r="Z544">
        <f t="shared" ref="Z544:Z553" si="123">(Y544-X544)/X544</f>
        <v>0</v>
      </c>
      <c r="AB544" t="s">
        <v>40</v>
      </c>
    </row>
    <row r="545" spans="1:28" x14ac:dyDescent="0.25">
      <c r="A545" t="s">
        <v>725</v>
      </c>
      <c r="B545" t="s">
        <v>728</v>
      </c>
      <c r="D545" t="s">
        <v>729</v>
      </c>
      <c r="E545" t="s">
        <v>417</v>
      </c>
      <c r="F545">
        <v>329714</v>
      </c>
      <c r="G545">
        <v>329714</v>
      </c>
      <c r="H545">
        <v>1</v>
      </c>
      <c r="I545">
        <f t="shared" si="114"/>
        <v>0</v>
      </c>
      <c r="J545">
        <v>0.4</v>
      </c>
      <c r="K545">
        <f t="shared" si="115"/>
        <v>131885.6</v>
      </c>
      <c r="L545" t="s">
        <v>37</v>
      </c>
      <c r="N545">
        <f t="shared" si="113"/>
        <v>39228.052864000012</v>
      </c>
      <c r="O545">
        <f t="shared" si="116"/>
        <v>8.4980494188707692E-2</v>
      </c>
      <c r="P545" t="s">
        <v>39</v>
      </c>
      <c r="Q545">
        <f t="shared" si="117"/>
        <v>0.57789174860636794</v>
      </c>
      <c r="R545">
        <f t="shared" si="118"/>
        <v>190539</v>
      </c>
      <c r="S545">
        <f t="shared" si="119"/>
        <v>190539</v>
      </c>
      <c r="T545">
        <v>190539</v>
      </c>
      <c r="U545">
        <f t="shared" si="120"/>
        <v>0</v>
      </c>
      <c r="V545">
        <v>1</v>
      </c>
      <c r="W545">
        <v>0.22500000000000001</v>
      </c>
      <c r="X545">
        <f t="shared" si="121"/>
        <v>42871.275000000001</v>
      </c>
      <c r="Y545">
        <f t="shared" si="122"/>
        <v>42871.275000000001</v>
      </c>
      <c r="Z545">
        <f t="shared" si="123"/>
        <v>0</v>
      </c>
      <c r="AB545" t="s">
        <v>40</v>
      </c>
    </row>
    <row r="546" spans="1:28" x14ac:dyDescent="0.25">
      <c r="A546" t="s">
        <v>725</v>
      </c>
      <c r="B546" t="s">
        <v>730</v>
      </c>
      <c r="D546" t="s">
        <v>731</v>
      </c>
      <c r="E546" t="s">
        <v>417</v>
      </c>
      <c r="F546">
        <v>363238</v>
      </c>
      <c r="G546">
        <v>363238</v>
      </c>
      <c r="H546">
        <v>1</v>
      </c>
      <c r="I546">
        <f t="shared" si="114"/>
        <v>0</v>
      </c>
      <c r="J546">
        <v>0.4</v>
      </c>
      <c r="K546">
        <f t="shared" si="115"/>
        <v>145295.20000000001</v>
      </c>
      <c r="L546" t="s">
        <v>37</v>
      </c>
      <c r="N546">
        <f t="shared" si="113"/>
        <v>43216.60428800001</v>
      </c>
      <c r="O546">
        <f t="shared" si="116"/>
        <v>8.3586776106284011E-2</v>
      </c>
      <c r="P546" t="s">
        <v>39</v>
      </c>
      <c r="Q546">
        <f t="shared" si="117"/>
        <v>0.57701286759645187</v>
      </c>
      <c r="R546">
        <f t="shared" si="118"/>
        <v>209592.99999999997</v>
      </c>
      <c r="S546">
        <f t="shared" si="119"/>
        <v>209592.99999999997</v>
      </c>
      <c r="T546">
        <v>209593</v>
      </c>
      <c r="U546">
        <f t="shared" si="120"/>
        <v>1.3885879040203492E-16</v>
      </c>
      <c r="V546">
        <v>1</v>
      </c>
      <c r="W546">
        <v>0.22500000000000001</v>
      </c>
      <c r="X546">
        <f t="shared" si="121"/>
        <v>47158.424999999996</v>
      </c>
      <c r="Y546">
        <f t="shared" si="122"/>
        <v>47158.424999999996</v>
      </c>
      <c r="Z546">
        <f t="shared" si="123"/>
        <v>0</v>
      </c>
      <c r="AB546" t="s">
        <v>40</v>
      </c>
    </row>
    <row r="547" spans="1:28" x14ac:dyDescent="0.25">
      <c r="A547" t="s">
        <v>725</v>
      </c>
      <c r="B547" t="s">
        <v>732</v>
      </c>
      <c r="D547" t="s">
        <v>733</v>
      </c>
      <c r="E547" t="s">
        <v>417</v>
      </c>
      <c r="F547">
        <v>329714</v>
      </c>
      <c r="G547">
        <v>329714</v>
      </c>
      <c r="H547">
        <v>1</v>
      </c>
      <c r="I547">
        <f t="shared" si="114"/>
        <v>0</v>
      </c>
      <c r="J547">
        <v>0.4</v>
      </c>
      <c r="K547">
        <f t="shared" si="115"/>
        <v>131885.6</v>
      </c>
      <c r="L547" t="s">
        <v>37</v>
      </c>
      <c r="N547">
        <f t="shared" si="113"/>
        <v>39228.052864000012</v>
      </c>
      <c r="O547">
        <f t="shared" si="116"/>
        <v>8.4980494188707692E-2</v>
      </c>
      <c r="P547" t="s">
        <v>39</v>
      </c>
      <c r="Q547">
        <f t="shared" si="117"/>
        <v>0.57789174860636794</v>
      </c>
      <c r="R547">
        <f t="shared" si="118"/>
        <v>190539</v>
      </c>
      <c r="S547">
        <f t="shared" si="119"/>
        <v>190539</v>
      </c>
      <c r="T547">
        <v>190539</v>
      </c>
      <c r="U547">
        <f t="shared" si="120"/>
        <v>0</v>
      </c>
      <c r="V547">
        <v>1</v>
      </c>
      <c r="W547">
        <v>0.22500000000000001</v>
      </c>
      <c r="X547">
        <f t="shared" si="121"/>
        <v>42871.275000000001</v>
      </c>
      <c r="Y547">
        <f t="shared" si="122"/>
        <v>42871.275000000001</v>
      </c>
      <c r="Z547">
        <f t="shared" si="123"/>
        <v>0</v>
      </c>
      <c r="AB547" t="s">
        <v>40</v>
      </c>
    </row>
    <row r="548" spans="1:28" x14ac:dyDescent="0.25">
      <c r="A548" t="s">
        <v>725</v>
      </c>
      <c r="B548" t="s">
        <v>734</v>
      </c>
      <c r="D548" t="s">
        <v>735</v>
      </c>
      <c r="E548" t="s">
        <v>417</v>
      </c>
      <c r="F548">
        <v>363238</v>
      </c>
      <c r="G548">
        <v>363238</v>
      </c>
      <c r="H548">
        <v>1</v>
      </c>
      <c r="I548">
        <f t="shared" si="114"/>
        <v>0</v>
      </c>
      <c r="J548">
        <v>0.4</v>
      </c>
      <c r="K548">
        <f t="shared" si="115"/>
        <v>145295.20000000001</v>
      </c>
      <c r="L548" t="s">
        <v>37</v>
      </c>
      <c r="N548">
        <f t="shared" si="113"/>
        <v>43216.60428800001</v>
      </c>
      <c r="O548">
        <f t="shared" si="116"/>
        <v>8.3586776106284011E-2</v>
      </c>
      <c r="P548" t="s">
        <v>39</v>
      </c>
      <c r="Q548">
        <f t="shared" si="117"/>
        <v>0.57701286759645187</v>
      </c>
      <c r="R548">
        <f t="shared" si="118"/>
        <v>209592.99999999997</v>
      </c>
      <c r="S548">
        <f t="shared" si="119"/>
        <v>209592.99999999997</v>
      </c>
      <c r="T548">
        <v>209593</v>
      </c>
      <c r="U548">
        <f t="shared" si="120"/>
        <v>1.3885879040203492E-16</v>
      </c>
      <c r="V548">
        <v>1</v>
      </c>
      <c r="W548">
        <v>0.22500000000000001</v>
      </c>
      <c r="X548">
        <f t="shared" si="121"/>
        <v>47158.424999999996</v>
      </c>
      <c r="Y548">
        <f t="shared" si="122"/>
        <v>47158.424999999996</v>
      </c>
      <c r="Z548">
        <f t="shared" si="123"/>
        <v>0</v>
      </c>
      <c r="AB548" t="s">
        <v>40</v>
      </c>
    </row>
    <row r="549" spans="1:28" x14ac:dyDescent="0.25">
      <c r="A549" t="s">
        <v>725</v>
      </c>
      <c r="B549" t="s">
        <v>736</v>
      </c>
      <c r="D549" t="s">
        <v>737</v>
      </c>
      <c r="E549" t="s">
        <v>417</v>
      </c>
      <c r="F549">
        <v>329714</v>
      </c>
      <c r="G549">
        <v>329714</v>
      </c>
      <c r="H549">
        <v>1</v>
      </c>
      <c r="I549">
        <f t="shared" si="114"/>
        <v>0</v>
      </c>
      <c r="J549">
        <v>0.4</v>
      </c>
      <c r="K549">
        <f t="shared" si="115"/>
        <v>131885.6</v>
      </c>
      <c r="L549" t="s">
        <v>37</v>
      </c>
      <c r="N549">
        <f t="shared" si="113"/>
        <v>39228.052864000012</v>
      </c>
      <c r="O549">
        <f t="shared" si="116"/>
        <v>8.4980494188707692E-2</v>
      </c>
      <c r="P549" t="s">
        <v>39</v>
      </c>
      <c r="Q549">
        <f t="shared" si="117"/>
        <v>0.57789174860636794</v>
      </c>
      <c r="R549">
        <f t="shared" si="118"/>
        <v>190539</v>
      </c>
      <c r="S549">
        <f t="shared" si="119"/>
        <v>190539</v>
      </c>
      <c r="T549">
        <v>190539</v>
      </c>
      <c r="U549">
        <f t="shared" si="120"/>
        <v>0</v>
      </c>
      <c r="V549">
        <v>1</v>
      </c>
      <c r="W549">
        <v>0.22500000000000001</v>
      </c>
      <c r="X549">
        <f t="shared" si="121"/>
        <v>42871.275000000001</v>
      </c>
      <c r="Y549">
        <f t="shared" si="122"/>
        <v>42871.275000000001</v>
      </c>
      <c r="Z549">
        <f t="shared" si="123"/>
        <v>0</v>
      </c>
      <c r="AB549" t="s">
        <v>40</v>
      </c>
    </row>
    <row r="550" spans="1:28" x14ac:dyDescent="0.25">
      <c r="A550" t="s">
        <v>725</v>
      </c>
      <c r="B550" t="s">
        <v>738</v>
      </c>
      <c r="D550" t="s">
        <v>739</v>
      </c>
      <c r="E550" t="s">
        <v>417</v>
      </c>
      <c r="F550">
        <v>363238</v>
      </c>
      <c r="G550">
        <v>363238</v>
      </c>
      <c r="H550">
        <v>1</v>
      </c>
      <c r="I550">
        <f t="shared" si="114"/>
        <v>0</v>
      </c>
      <c r="J550">
        <v>0.4</v>
      </c>
      <c r="K550">
        <f t="shared" si="115"/>
        <v>145295.20000000001</v>
      </c>
      <c r="L550" t="s">
        <v>37</v>
      </c>
      <c r="N550">
        <f t="shared" si="113"/>
        <v>43216.60428800001</v>
      </c>
      <c r="O550">
        <f t="shared" si="116"/>
        <v>8.3586776106284011E-2</v>
      </c>
      <c r="P550" t="s">
        <v>39</v>
      </c>
      <c r="Q550">
        <f t="shared" si="117"/>
        <v>0.57701286759645187</v>
      </c>
      <c r="R550">
        <f t="shared" si="118"/>
        <v>209592.99999999997</v>
      </c>
      <c r="S550">
        <f t="shared" si="119"/>
        <v>209592.99999999997</v>
      </c>
      <c r="T550">
        <v>209593</v>
      </c>
      <c r="U550">
        <f t="shared" si="120"/>
        <v>1.3885879040203492E-16</v>
      </c>
      <c r="V550">
        <v>1</v>
      </c>
      <c r="W550">
        <v>0.22500000000000001</v>
      </c>
      <c r="X550">
        <f t="shared" si="121"/>
        <v>47158.424999999996</v>
      </c>
      <c r="Y550">
        <f t="shared" si="122"/>
        <v>47158.424999999996</v>
      </c>
      <c r="Z550">
        <f t="shared" si="123"/>
        <v>0</v>
      </c>
      <c r="AB550" t="s">
        <v>40</v>
      </c>
    </row>
    <row r="551" spans="1:28" x14ac:dyDescent="0.25">
      <c r="A551" t="s">
        <v>725</v>
      </c>
      <c r="B551" t="s">
        <v>740</v>
      </c>
      <c r="D551" t="s">
        <v>741</v>
      </c>
      <c r="E551" t="s">
        <v>417</v>
      </c>
      <c r="F551">
        <v>329714</v>
      </c>
      <c r="G551">
        <v>329714</v>
      </c>
      <c r="H551">
        <v>1</v>
      </c>
      <c r="I551">
        <f t="shared" si="114"/>
        <v>0</v>
      </c>
      <c r="J551">
        <v>0.4</v>
      </c>
      <c r="K551">
        <f t="shared" si="115"/>
        <v>131885.6</v>
      </c>
      <c r="L551" t="s">
        <v>37</v>
      </c>
      <c r="N551">
        <f t="shared" si="113"/>
        <v>39228.052864000012</v>
      </c>
      <c r="O551">
        <f t="shared" si="116"/>
        <v>8.4980494188707692E-2</v>
      </c>
      <c r="P551" t="s">
        <v>39</v>
      </c>
      <c r="Q551">
        <f t="shared" si="117"/>
        <v>0.57789174860636794</v>
      </c>
      <c r="R551">
        <f t="shared" si="118"/>
        <v>190539</v>
      </c>
      <c r="S551">
        <f t="shared" si="119"/>
        <v>190539</v>
      </c>
      <c r="T551">
        <v>190539</v>
      </c>
      <c r="U551">
        <f t="shared" si="120"/>
        <v>0</v>
      </c>
      <c r="V551">
        <v>1</v>
      </c>
      <c r="W551">
        <v>0.22500000000000001</v>
      </c>
      <c r="X551">
        <f t="shared" si="121"/>
        <v>42871.275000000001</v>
      </c>
      <c r="Y551">
        <f t="shared" si="122"/>
        <v>42871.275000000001</v>
      </c>
      <c r="Z551">
        <f t="shared" si="123"/>
        <v>0</v>
      </c>
      <c r="AB551" t="s">
        <v>40</v>
      </c>
    </row>
    <row r="552" spans="1:28" x14ac:dyDescent="0.25">
      <c r="A552" t="s">
        <v>725</v>
      </c>
      <c r="B552" t="s">
        <v>742</v>
      </c>
      <c r="D552" t="s">
        <v>743</v>
      </c>
      <c r="E552" t="s">
        <v>417</v>
      </c>
      <c r="F552">
        <v>363238</v>
      </c>
      <c r="G552">
        <v>363238</v>
      </c>
      <c r="H552">
        <v>1</v>
      </c>
      <c r="I552">
        <f t="shared" si="114"/>
        <v>0</v>
      </c>
      <c r="J552">
        <v>0.4</v>
      </c>
      <c r="K552">
        <f t="shared" si="115"/>
        <v>145295.20000000001</v>
      </c>
      <c r="L552" t="s">
        <v>37</v>
      </c>
      <c r="N552">
        <f t="shared" si="113"/>
        <v>43216.60428800001</v>
      </c>
      <c r="O552">
        <f t="shared" si="116"/>
        <v>8.3586776106284011E-2</v>
      </c>
      <c r="P552" t="s">
        <v>39</v>
      </c>
      <c r="Q552">
        <f t="shared" si="117"/>
        <v>0.57701286759645187</v>
      </c>
      <c r="R552">
        <f t="shared" si="118"/>
        <v>209592.99999999997</v>
      </c>
      <c r="S552">
        <f t="shared" si="119"/>
        <v>209592.99999999997</v>
      </c>
      <c r="T552">
        <v>209593</v>
      </c>
      <c r="U552">
        <f t="shared" si="120"/>
        <v>1.3885879040203492E-16</v>
      </c>
      <c r="V552">
        <v>1</v>
      </c>
      <c r="W552">
        <v>0.22500000000000001</v>
      </c>
      <c r="X552">
        <f t="shared" si="121"/>
        <v>47158.424999999996</v>
      </c>
      <c r="Y552">
        <f t="shared" si="122"/>
        <v>47158.424999999996</v>
      </c>
      <c r="Z552">
        <f t="shared" si="123"/>
        <v>0</v>
      </c>
      <c r="AB552" t="s">
        <v>40</v>
      </c>
    </row>
    <row r="553" spans="1:28" x14ac:dyDescent="0.25">
      <c r="A553" t="s">
        <v>725</v>
      </c>
      <c r="B553" t="s">
        <v>744</v>
      </c>
      <c r="D553" t="s">
        <v>745</v>
      </c>
      <c r="E553" t="s">
        <v>417</v>
      </c>
      <c r="F553">
        <v>329714</v>
      </c>
      <c r="G553">
        <v>329714</v>
      </c>
      <c r="H553">
        <v>1</v>
      </c>
      <c r="I553">
        <f t="shared" si="114"/>
        <v>0</v>
      </c>
      <c r="J553">
        <v>0.4</v>
      </c>
      <c r="K553">
        <f t="shared" si="115"/>
        <v>131885.6</v>
      </c>
      <c r="L553" t="s">
        <v>37</v>
      </c>
      <c r="N553">
        <f t="shared" si="113"/>
        <v>39228.052864000012</v>
      </c>
      <c r="O553">
        <f t="shared" si="116"/>
        <v>8.4980494188707692E-2</v>
      </c>
      <c r="P553" t="s">
        <v>39</v>
      </c>
      <c r="Q553">
        <f t="shared" si="117"/>
        <v>0.57789174860636794</v>
      </c>
      <c r="R553">
        <f t="shared" si="118"/>
        <v>190539</v>
      </c>
      <c r="S553">
        <f t="shared" si="119"/>
        <v>190539</v>
      </c>
      <c r="T553">
        <v>190539</v>
      </c>
      <c r="U553">
        <f t="shared" si="120"/>
        <v>0</v>
      </c>
      <c r="V553">
        <v>1</v>
      </c>
      <c r="W553">
        <v>0.22500000000000001</v>
      </c>
      <c r="X553">
        <f t="shared" si="121"/>
        <v>42871.275000000001</v>
      </c>
      <c r="Y553">
        <f t="shared" si="122"/>
        <v>42871.275000000001</v>
      </c>
      <c r="Z553">
        <f t="shared" si="123"/>
        <v>0</v>
      </c>
      <c r="AB553" t="s">
        <v>40</v>
      </c>
    </row>
    <row r="554" spans="1:28" x14ac:dyDescent="0.25">
      <c r="A554" t="s">
        <v>725</v>
      </c>
      <c r="B554" t="s">
        <v>773</v>
      </c>
      <c r="D554" t="s">
        <v>774</v>
      </c>
      <c r="E554" t="s">
        <v>417</v>
      </c>
      <c r="F554">
        <v>71048</v>
      </c>
      <c r="G554">
        <v>71048</v>
      </c>
      <c r="H554">
        <v>1</v>
      </c>
      <c r="I554">
        <f t="shared" ref="I554:I574" si="124">(G554-F554)/F554</f>
        <v>0</v>
      </c>
      <c r="J554">
        <v>0.4</v>
      </c>
      <c r="K554">
        <f t="shared" ref="K554:K574" si="125">F554*H554*J554</f>
        <v>28419.200000000001</v>
      </c>
      <c r="L554" t="s">
        <v>37</v>
      </c>
      <c r="N554">
        <f t="shared" ref="N554:N571" si="126">K554*$N$2*$O$2</f>
        <v>8453.0068480000009</v>
      </c>
      <c r="O554">
        <f t="shared" ref="O554:O574" si="127">(X554-N554)/X554</f>
        <v>8.5691912279278457E-2</v>
      </c>
      <c r="P554" t="s">
        <v>39</v>
      </c>
      <c r="Q554">
        <f t="shared" ref="Q554:Q574" si="128">T554/F554</f>
        <v>0.57834140299515824</v>
      </c>
      <c r="R554">
        <f t="shared" ref="R554:R574" si="129">F554*Q554</f>
        <v>41090</v>
      </c>
      <c r="S554">
        <f t="shared" ref="S554:S574" si="130">G554*Q554</f>
        <v>41090</v>
      </c>
      <c r="T554">
        <v>41090</v>
      </c>
      <c r="U554">
        <f t="shared" ref="U554:U574" si="131">(T554-R554)/R554</f>
        <v>0</v>
      </c>
      <c r="V554">
        <v>1</v>
      </c>
      <c r="W554">
        <v>0.22500000000000001</v>
      </c>
      <c r="X554">
        <f t="shared" ref="X554:X574" si="132">R554*V554*W554</f>
        <v>9245.25</v>
      </c>
      <c r="Y554">
        <f t="shared" ref="Y554:Y574" si="133">S554*W554*V554</f>
        <v>9245.25</v>
      </c>
      <c r="Z554">
        <f t="shared" ref="Z554:Z574" si="134">(Y554-X554)/X554</f>
        <v>0</v>
      </c>
      <c r="AB554" t="s">
        <v>40</v>
      </c>
    </row>
    <row r="555" spans="1:28" x14ac:dyDescent="0.25">
      <c r="A555" t="s">
        <v>725</v>
      </c>
      <c r="B555" t="s">
        <v>775</v>
      </c>
      <c r="D555" t="s">
        <v>776</v>
      </c>
      <c r="E555" t="s">
        <v>417</v>
      </c>
      <c r="F555">
        <v>64571</v>
      </c>
      <c r="G555">
        <v>64571</v>
      </c>
      <c r="H555">
        <v>1</v>
      </c>
      <c r="I555">
        <f t="shared" si="124"/>
        <v>0</v>
      </c>
      <c r="J555">
        <v>0.4</v>
      </c>
      <c r="K555">
        <f t="shared" si="125"/>
        <v>25828.400000000001</v>
      </c>
      <c r="L555" t="s">
        <v>37</v>
      </c>
      <c r="N555">
        <f t="shared" si="126"/>
        <v>7682.3992960000014</v>
      </c>
      <c r="O555">
        <f t="shared" si="127"/>
        <v>8.4095687354512755E-2</v>
      </c>
      <c r="P555" t="s">
        <v>39</v>
      </c>
      <c r="Q555">
        <f t="shared" si="128"/>
        <v>0.57733347787706557</v>
      </c>
      <c r="R555">
        <f t="shared" si="129"/>
        <v>37279</v>
      </c>
      <c r="S555">
        <f t="shared" si="130"/>
        <v>37279</v>
      </c>
      <c r="T555">
        <v>37279</v>
      </c>
      <c r="U555">
        <f t="shared" si="131"/>
        <v>0</v>
      </c>
      <c r="V555">
        <v>1</v>
      </c>
      <c r="W555">
        <v>0.22500000000000001</v>
      </c>
      <c r="X555">
        <f t="shared" si="132"/>
        <v>8387.7749999999996</v>
      </c>
      <c r="Y555">
        <f t="shared" si="133"/>
        <v>8387.7749999999996</v>
      </c>
      <c r="Z555">
        <f t="shared" si="134"/>
        <v>0</v>
      </c>
      <c r="AB555" t="s">
        <v>40</v>
      </c>
    </row>
    <row r="556" spans="1:28" x14ac:dyDescent="0.25">
      <c r="A556" t="s">
        <v>725</v>
      </c>
      <c r="B556" t="s">
        <v>777</v>
      </c>
      <c r="D556" t="s">
        <v>778</v>
      </c>
      <c r="E556" t="s">
        <v>417</v>
      </c>
      <c r="F556">
        <v>99048</v>
      </c>
      <c r="G556">
        <v>99048</v>
      </c>
      <c r="H556">
        <v>1</v>
      </c>
      <c r="I556">
        <f t="shared" si="124"/>
        <v>0</v>
      </c>
      <c r="J556">
        <v>0.4</v>
      </c>
      <c r="K556">
        <f t="shared" si="125"/>
        <v>39619.200000000004</v>
      </c>
      <c r="L556" t="s">
        <v>37</v>
      </c>
      <c r="N556">
        <f t="shared" si="126"/>
        <v>11784.334848000002</v>
      </c>
      <c r="O556">
        <f t="shared" si="127"/>
        <v>8.2415221943855393E-2</v>
      </c>
      <c r="P556" t="s">
        <v>39</v>
      </c>
      <c r="Q556">
        <f t="shared" si="128"/>
        <v>0.5762761489378887</v>
      </c>
      <c r="R556">
        <f t="shared" si="129"/>
        <v>57079</v>
      </c>
      <c r="S556">
        <f t="shared" si="130"/>
        <v>57079</v>
      </c>
      <c r="T556">
        <v>57079</v>
      </c>
      <c r="U556">
        <f t="shared" si="131"/>
        <v>0</v>
      </c>
      <c r="V556">
        <v>1</v>
      </c>
      <c r="W556">
        <v>0.22500000000000001</v>
      </c>
      <c r="X556">
        <f t="shared" si="132"/>
        <v>12842.775</v>
      </c>
      <c r="Y556">
        <f t="shared" si="133"/>
        <v>12842.775</v>
      </c>
      <c r="Z556">
        <f t="shared" si="134"/>
        <v>0</v>
      </c>
      <c r="AB556" t="s">
        <v>40</v>
      </c>
    </row>
    <row r="557" spans="1:28" x14ac:dyDescent="0.25">
      <c r="A557" t="s">
        <v>725</v>
      </c>
      <c r="B557" t="s">
        <v>779</v>
      </c>
      <c r="D557" t="s">
        <v>780</v>
      </c>
      <c r="E557" t="s">
        <v>417</v>
      </c>
      <c r="F557">
        <v>90095</v>
      </c>
      <c r="G557">
        <v>90095</v>
      </c>
      <c r="H557">
        <v>1</v>
      </c>
      <c r="I557">
        <f t="shared" si="124"/>
        <v>0</v>
      </c>
      <c r="J557">
        <v>0.4</v>
      </c>
      <c r="K557">
        <f t="shared" si="125"/>
        <v>36038</v>
      </c>
      <c r="L557" t="s">
        <v>37</v>
      </c>
      <c r="N557">
        <f t="shared" si="126"/>
        <v>10719.142720000002</v>
      </c>
      <c r="O557">
        <f t="shared" si="127"/>
        <v>8.136069589064561E-2</v>
      </c>
      <c r="P557" t="s">
        <v>39</v>
      </c>
      <c r="Q557">
        <f t="shared" si="128"/>
        <v>0.57561462900271931</v>
      </c>
      <c r="R557">
        <f t="shared" si="129"/>
        <v>51860</v>
      </c>
      <c r="S557">
        <f t="shared" si="130"/>
        <v>51860</v>
      </c>
      <c r="T557">
        <v>51860</v>
      </c>
      <c r="U557">
        <f t="shared" si="131"/>
        <v>0</v>
      </c>
      <c r="V557">
        <v>1</v>
      </c>
      <c r="W557">
        <v>0.22500000000000001</v>
      </c>
      <c r="X557">
        <f t="shared" si="132"/>
        <v>11668.5</v>
      </c>
      <c r="Y557">
        <f t="shared" si="133"/>
        <v>11668.5</v>
      </c>
      <c r="Z557">
        <f t="shared" si="134"/>
        <v>0</v>
      </c>
      <c r="AB557" t="s">
        <v>40</v>
      </c>
    </row>
    <row r="558" spans="1:28" x14ac:dyDescent="0.25">
      <c r="A558" t="s">
        <v>725</v>
      </c>
      <c r="B558" t="s">
        <v>781</v>
      </c>
      <c r="D558" t="s">
        <v>782</v>
      </c>
      <c r="E558" t="s">
        <v>417</v>
      </c>
      <c r="F558">
        <v>99048</v>
      </c>
      <c r="G558">
        <v>99048</v>
      </c>
      <c r="H558">
        <v>1</v>
      </c>
      <c r="I558">
        <f t="shared" si="124"/>
        <v>0</v>
      </c>
      <c r="J558">
        <v>0.4</v>
      </c>
      <c r="K558">
        <f t="shared" si="125"/>
        <v>39619.200000000004</v>
      </c>
      <c r="L558" t="s">
        <v>37</v>
      </c>
      <c r="N558">
        <f t="shared" si="126"/>
        <v>11784.334848000002</v>
      </c>
      <c r="O558">
        <f t="shared" si="127"/>
        <v>8.2415221943855393E-2</v>
      </c>
      <c r="P558" t="s">
        <v>39</v>
      </c>
      <c r="Q558">
        <f t="shared" si="128"/>
        <v>0.5762761489378887</v>
      </c>
      <c r="R558">
        <f t="shared" si="129"/>
        <v>57079</v>
      </c>
      <c r="S558">
        <f t="shared" si="130"/>
        <v>57079</v>
      </c>
      <c r="T558">
        <v>57079</v>
      </c>
      <c r="U558">
        <f t="shared" si="131"/>
        <v>0</v>
      </c>
      <c r="V558">
        <v>1</v>
      </c>
      <c r="W558">
        <v>0.22500000000000001</v>
      </c>
      <c r="X558">
        <f t="shared" si="132"/>
        <v>12842.775</v>
      </c>
      <c r="Y558">
        <f t="shared" si="133"/>
        <v>12842.775</v>
      </c>
      <c r="Z558">
        <f t="shared" si="134"/>
        <v>0</v>
      </c>
      <c r="AB558" t="s">
        <v>40</v>
      </c>
    </row>
    <row r="559" spans="1:28" x14ac:dyDescent="0.25">
      <c r="A559" t="s">
        <v>725</v>
      </c>
      <c r="B559" t="s">
        <v>783</v>
      </c>
      <c r="D559" t="s">
        <v>784</v>
      </c>
      <c r="E559" t="s">
        <v>417</v>
      </c>
      <c r="F559">
        <v>90095</v>
      </c>
      <c r="G559">
        <v>90095</v>
      </c>
      <c r="H559">
        <v>1</v>
      </c>
      <c r="I559">
        <f t="shared" si="124"/>
        <v>0</v>
      </c>
      <c r="J559">
        <v>0.4</v>
      </c>
      <c r="K559">
        <f t="shared" si="125"/>
        <v>36038</v>
      </c>
      <c r="L559" t="s">
        <v>37</v>
      </c>
      <c r="N559">
        <f t="shared" si="126"/>
        <v>10719.142720000002</v>
      </c>
      <c r="O559">
        <f t="shared" si="127"/>
        <v>8.136069589064561E-2</v>
      </c>
      <c r="P559" t="s">
        <v>39</v>
      </c>
      <c r="Q559">
        <f t="shared" si="128"/>
        <v>0.57561462900271931</v>
      </c>
      <c r="R559">
        <f t="shared" si="129"/>
        <v>51860</v>
      </c>
      <c r="S559">
        <f t="shared" si="130"/>
        <v>51860</v>
      </c>
      <c r="T559">
        <v>51860</v>
      </c>
      <c r="U559">
        <f t="shared" si="131"/>
        <v>0</v>
      </c>
      <c r="V559">
        <v>1</v>
      </c>
      <c r="W559">
        <v>0.22500000000000001</v>
      </c>
      <c r="X559">
        <f t="shared" si="132"/>
        <v>11668.5</v>
      </c>
      <c r="Y559">
        <f t="shared" si="133"/>
        <v>11668.5</v>
      </c>
      <c r="Z559">
        <f t="shared" si="134"/>
        <v>0</v>
      </c>
      <c r="AB559" t="s">
        <v>40</v>
      </c>
    </row>
    <row r="560" spans="1:28" x14ac:dyDescent="0.25">
      <c r="A560" t="s">
        <v>725</v>
      </c>
      <c r="B560" t="s">
        <v>785</v>
      </c>
      <c r="D560" t="s">
        <v>786</v>
      </c>
      <c r="E560" t="s">
        <v>417</v>
      </c>
      <c r="F560">
        <v>144952</v>
      </c>
      <c r="G560">
        <v>144952</v>
      </c>
      <c r="H560">
        <v>1</v>
      </c>
      <c r="I560">
        <f t="shared" si="124"/>
        <v>0</v>
      </c>
      <c r="J560">
        <v>0.4</v>
      </c>
      <c r="K560">
        <f t="shared" si="125"/>
        <v>57980.800000000003</v>
      </c>
      <c r="L560" t="s">
        <v>37</v>
      </c>
      <c r="N560">
        <f t="shared" si="126"/>
        <v>17245.809152000005</v>
      </c>
      <c r="O560">
        <f t="shared" si="127"/>
        <v>8.393540562972153E-2</v>
      </c>
      <c r="P560" t="s">
        <v>39</v>
      </c>
      <c r="Q560">
        <f t="shared" si="128"/>
        <v>0.57723246316021859</v>
      </c>
      <c r="R560">
        <f t="shared" si="129"/>
        <v>83671</v>
      </c>
      <c r="S560">
        <f t="shared" si="130"/>
        <v>83671</v>
      </c>
      <c r="T560">
        <v>83671</v>
      </c>
      <c r="U560">
        <f t="shared" si="131"/>
        <v>0</v>
      </c>
      <c r="V560">
        <v>1</v>
      </c>
      <c r="W560">
        <v>0.22500000000000001</v>
      </c>
      <c r="X560">
        <f t="shared" si="132"/>
        <v>18825.975000000002</v>
      </c>
      <c r="Y560">
        <f t="shared" si="133"/>
        <v>18825.975000000002</v>
      </c>
      <c r="Z560">
        <f t="shared" si="134"/>
        <v>0</v>
      </c>
      <c r="AB560" t="s">
        <v>40</v>
      </c>
    </row>
    <row r="561" spans="1:28" x14ac:dyDescent="0.25">
      <c r="A561" t="s">
        <v>725</v>
      </c>
      <c r="B561" t="s">
        <v>390</v>
      </c>
      <c r="D561" t="s">
        <v>787</v>
      </c>
      <c r="E561" t="s">
        <v>417</v>
      </c>
      <c r="F561">
        <v>132000</v>
      </c>
      <c r="G561">
        <v>132000</v>
      </c>
      <c r="H561">
        <v>1</v>
      </c>
      <c r="I561">
        <f t="shared" si="124"/>
        <v>0</v>
      </c>
      <c r="J561">
        <v>0.4</v>
      </c>
      <c r="K561">
        <f t="shared" si="125"/>
        <v>52800</v>
      </c>
      <c r="L561" t="s">
        <v>37</v>
      </c>
      <c r="N561">
        <f t="shared" si="126"/>
        <v>15704.832000000002</v>
      </c>
      <c r="O561">
        <f t="shared" si="127"/>
        <v>8.4191595815401837E-2</v>
      </c>
      <c r="P561" t="s">
        <v>39</v>
      </c>
      <c r="Q561">
        <f t="shared" si="128"/>
        <v>0.57739393939393935</v>
      </c>
      <c r="R561">
        <f t="shared" si="129"/>
        <v>76216</v>
      </c>
      <c r="S561">
        <f t="shared" si="130"/>
        <v>76216</v>
      </c>
      <c r="T561">
        <v>76216</v>
      </c>
      <c r="U561">
        <f t="shared" si="131"/>
        <v>0</v>
      </c>
      <c r="V561">
        <v>1</v>
      </c>
      <c r="W561">
        <v>0.22500000000000001</v>
      </c>
      <c r="X561">
        <f t="shared" si="132"/>
        <v>17148.600000000002</v>
      </c>
      <c r="Y561">
        <f t="shared" si="133"/>
        <v>17148.600000000002</v>
      </c>
      <c r="Z561">
        <f t="shared" si="134"/>
        <v>0</v>
      </c>
      <c r="AB561" t="s">
        <v>40</v>
      </c>
    </row>
    <row r="562" spans="1:28" x14ac:dyDescent="0.25">
      <c r="A562" t="s">
        <v>725</v>
      </c>
      <c r="B562" t="s">
        <v>788</v>
      </c>
      <c r="D562" t="s">
        <v>789</v>
      </c>
      <c r="E562" t="s">
        <v>417</v>
      </c>
      <c r="F562">
        <v>144952</v>
      </c>
      <c r="G562">
        <v>144952</v>
      </c>
      <c r="H562">
        <v>1</v>
      </c>
      <c r="I562">
        <f t="shared" si="124"/>
        <v>0</v>
      </c>
      <c r="J562">
        <v>0.4</v>
      </c>
      <c r="K562">
        <f t="shared" si="125"/>
        <v>57980.800000000003</v>
      </c>
      <c r="L562" t="s">
        <v>37</v>
      </c>
      <c r="N562">
        <f t="shared" si="126"/>
        <v>17245.809152000005</v>
      </c>
      <c r="O562">
        <f t="shared" si="127"/>
        <v>8.393540562972153E-2</v>
      </c>
      <c r="P562" t="s">
        <v>39</v>
      </c>
      <c r="Q562">
        <f t="shared" si="128"/>
        <v>0.57723246316021859</v>
      </c>
      <c r="R562">
        <f t="shared" si="129"/>
        <v>83671</v>
      </c>
      <c r="S562">
        <f t="shared" si="130"/>
        <v>83671</v>
      </c>
      <c r="T562">
        <v>83671</v>
      </c>
      <c r="U562">
        <f t="shared" si="131"/>
        <v>0</v>
      </c>
      <c r="V562">
        <v>1</v>
      </c>
      <c r="W562">
        <v>0.22500000000000001</v>
      </c>
      <c r="X562">
        <f t="shared" si="132"/>
        <v>18825.975000000002</v>
      </c>
      <c r="Y562">
        <f t="shared" si="133"/>
        <v>18825.975000000002</v>
      </c>
      <c r="Z562">
        <f t="shared" si="134"/>
        <v>0</v>
      </c>
      <c r="AB562" t="s">
        <v>40</v>
      </c>
    </row>
    <row r="563" spans="1:28" x14ac:dyDescent="0.25">
      <c r="A563" t="s">
        <v>725</v>
      </c>
      <c r="B563" t="s">
        <v>391</v>
      </c>
      <c r="D563" t="s">
        <v>790</v>
      </c>
      <c r="E563" t="s">
        <v>417</v>
      </c>
      <c r="F563">
        <v>132000</v>
      </c>
      <c r="G563">
        <v>132000</v>
      </c>
      <c r="H563">
        <v>1</v>
      </c>
      <c r="I563">
        <f t="shared" si="124"/>
        <v>0</v>
      </c>
      <c r="J563">
        <v>0.4</v>
      </c>
      <c r="K563">
        <f t="shared" si="125"/>
        <v>52800</v>
      </c>
      <c r="L563" t="s">
        <v>37</v>
      </c>
      <c r="N563">
        <f t="shared" si="126"/>
        <v>15704.832000000002</v>
      </c>
      <c r="O563">
        <f t="shared" si="127"/>
        <v>8.4191595815401837E-2</v>
      </c>
      <c r="P563" t="s">
        <v>39</v>
      </c>
      <c r="Q563">
        <f t="shared" si="128"/>
        <v>0.57739393939393935</v>
      </c>
      <c r="R563">
        <f t="shared" si="129"/>
        <v>76216</v>
      </c>
      <c r="S563">
        <f t="shared" si="130"/>
        <v>76216</v>
      </c>
      <c r="T563">
        <v>76216</v>
      </c>
      <c r="U563">
        <f t="shared" si="131"/>
        <v>0</v>
      </c>
      <c r="V563">
        <v>1</v>
      </c>
      <c r="W563">
        <v>0.22500000000000001</v>
      </c>
      <c r="X563">
        <f t="shared" si="132"/>
        <v>17148.600000000002</v>
      </c>
      <c r="Y563">
        <f t="shared" si="133"/>
        <v>17148.600000000002</v>
      </c>
      <c r="Z563">
        <f t="shared" si="134"/>
        <v>0</v>
      </c>
      <c r="AB563" t="s">
        <v>40</v>
      </c>
    </row>
    <row r="564" spans="1:28" x14ac:dyDescent="0.25">
      <c r="A564" t="s">
        <v>725</v>
      </c>
      <c r="B564" t="s">
        <v>791</v>
      </c>
      <c r="D564" t="s">
        <v>792</v>
      </c>
      <c r="E564" t="s">
        <v>417</v>
      </c>
      <c r="F564">
        <v>144952</v>
      </c>
      <c r="G564">
        <v>144952</v>
      </c>
      <c r="H564">
        <v>1</v>
      </c>
      <c r="I564">
        <f t="shared" si="124"/>
        <v>0</v>
      </c>
      <c r="J564">
        <v>0.4</v>
      </c>
      <c r="K564">
        <f t="shared" si="125"/>
        <v>57980.800000000003</v>
      </c>
      <c r="L564" t="s">
        <v>37</v>
      </c>
      <c r="N564">
        <f t="shared" si="126"/>
        <v>17245.809152000005</v>
      </c>
      <c r="O564">
        <f t="shared" si="127"/>
        <v>8.393540562972153E-2</v>
      </c>
      <c r="P564" t="s">
        <v>39</v>
      </c>
      <c r="Q564">
        <f t="shared" si="128"/>
        <v>0.57723246316021859</v>
      </c>
      <c r="R564">
        <f t="shared" si="129"/>
        <v>83671</v>
      </c>
      <c r="S564">
        <f t="shared" si="130"/>
        <v>83671</v>
      </c>
      <c r="T564">
        <v>83671</v>
      </c>
      <c r="U564">
        <f t="shared" si="131"/>
        <v>0</v>
      </c>
      <c r="V564">
        <v>1</v>
      </c>
      <c r="W564">
        <v>0.22500000000000001</v>
      </c>
      <c r="X564">
        <f t="shared" si="132"/>
        <v>18825.975000000002</v>
      </c>
      <c r="Y564">
        <f t="shared" si="133"/>
        <v>18825.975000000002</v>
      </c>
      <c r="Z564">
        <f t="shared" si="134"/>
        <v>0</v>
      </c>
      <c r="AB564" t="s">
        <v>40</v>
      </c>
    </row>
    <row r="565" spans="1:28" x14ac:dyDescent="0.25">
      <c r="A565" t="s">
        <v>725</v>
      </c>
      <c r="B565" t="s">
        <v>392</v>
      </c>
      <c r="D565" t="s">
        <v>793</v>
      </c>
      <c r="E565" t="s">
        <v>417</v>
      </c>
      <c r="F565">
        <v>132000</v>
      </c>
      <c r="G565">
        <v>132000</v>
      </c>
      <c r="H565">
        <v>1</v>
      </c>
      <c r="I565">
        <f t="shared" si="124"/>
        <v>0</v>
      </c>
      <c r="J565">
        <v>0.4</v>
      </c>
      <c r="K565">
        <f t="shared" si="125"/>
        <v>52800</v>
      </c>
      <c r="L565" t="s">
        <v>37</v>
      </c>
      <c r="N565">
        <f t="shared" si="126"/>
        <v>15704.832000000002</v>
      </c>
      <c r="O565">
        <f t="shared" si="127"/>
        <v>8.4191595815401837E-2</v>
      </c>
      <c r="P565" t="s">
        <v>39</v>
      </c>
      <c r="Q565">
        <f t="shared" si="128"/>
        <v>0.57739393939393935</v>
      </c>
      <c r="R565">
        <f t="shared" si="129"/>
        <v>76216</v>
      </c>
      <c r="S565">
        <f t="shared" si="130"/>
        <v>76216</v>
      </c>
      <c r="T565">
        <v>76216</v>
      </c>
      <c r="U565">
        <f t="shared" si="131"/>
        <v>0</v>
      </c>
      <c r="V565">
        <v>1</v>
      </c>
      <c r="W565">
        <v>0.22500000000000001</v>
      </c>
      <c r="X565">
        <f t="shared" si="132"/>
        <v>17148.600000000002</v>
      </c>
      <c r="Y565">
        <f t="shared" si="133"/>
        <v>17148.600000000002</v>
      </c>
      <c r="Z565">
        <f t="shared" si="134"/>
        <v>0</v>
      </c>
      <c r="AB565" t="s">
        <v>40</v>
      </c>
    </row>
    <row r="566" spans="1:28" x14ac:dyDescent="0.25">
      <c r="A566" t="s">
        <v>725</v>
      </c>
      <c r="B566" t="s">
        <v>794</v>
      </c>
      <c r="D566" t="s">
        <v>795</v>
      </c>
      <c r="E566" t="s">
        <v>417</v>
      </c>
      <c r="F566">
        <v>144952</v>
      </c>
      <c r="G566">
        <v>144952</v>
      </c>
      <c r="H566">
        <v>1</v>
      </c>
      <c r="I566">
        <f t="shared" si="124"/>
        <v>0</v>
      </c>
      <c r="J566">
        <v>0.4</v>
      </c>
      <c r="K566">
        <f t="shared" si="125"/>
        <v>57980.800000000003</v>
      </c>
      <c r="L566" t="s">
        <v>37</v>
      </c>
      <c r="N566">
        <f t="shared" si="126"/>
        <v>17245.809152000005</v>
      </c>
      <c r="O566">
        <f t="shared" si="127"/>
        <v>8.393540562972153E-2</v>
      </c>
      <c r="P566" t="s">
        <v>39</v>
      </c>
      <c r="Q566">
        <f t="shared" si="128"/>
        <v>0.57723246316021859</v>
      </c>
      <c r="R566">
        <f t="shared" si="129"/>
        <v>83671</v>
      </c>
      <c r="S566">
        <f t="shared" si="130"/>
        <v>83671</v>
      </c>
      <c r="T566">
        <v>83671</v>
      </c>
      <c r="U566">
        <f t="shared" si="131"/>
        <v>0</v>
      </c>
      <c r="V566">
        <v>1</v>
      </c>
      <c r="W566">
        <v>0.22500000000000001</v>
      </c>
      <c r="X566">
        <f t="shared" si="132"/>
        <v>18825.975000000002</v>
      </c>
      <c r="Y566">
        <f t="shared" si="133"/>
        <v>18825.975000000002</v>
      </c>
      <c r="Z566">
        <f t="shared" si="134"/>
        <v>0</v>
      </c>
      <c r="AB566" t="s">
        <v>40</v>
      </c>
    </row>
    <row r="567" spans="1:28" x14ac:dyDescent="0.25">
      <c r="A567" t="s">
        <v>725</v>
      </c>
      <c r="B567" t="s">
        <v>393</v>
      </c>
      <c r="D567" t="s">
        <v>796</v>
      </c>
      <c r="E567" t="s">
        <v>417</v>
      </c>
      <c r="F567">
        <v>132000</v>
      </c>
      <c r="G567">
        <v>132000</v>
      </c>
      <c r="H567">
        <v>1</v>
      </c>
      <c r="I567">
        <f t="shared" si="124"/>
        <v>0</v>
      </c>
      <c r="J567">
        <v>0.4</v>
      </c>
      <c r="K567">
        <f t="shared" si="125"/>
        <v>52800</v>
      </c>
      <c r="L567" t="s">
        <v>37</v>
      </c>
      <c r="N567">
        <f t="shared" si="126"/>
        <v>15704.832000000002</v>
      </c>
      <c r="O567">
        <f t="shared" si="127"/>
        <v>8.4191595815401837E-2</v>
      </c>
      <c r="P567" t="s">
        <v>39</v>
      </c>
      <c r="Q567">
        <f t="shared" si="128"/>
        <v>0.57739393939393935</v>
      </c>
      <c r="R567">
        <f t="shared" si="129"/>
        <v>76216</v>
      </c>
      <c r="S567">
        <f t="shared" si="130"/>
        <v>76216</v>
      </c>
      <c r="T567">
        <v>76216</v>
      </c>
      <c r="U567">
        <f t="shared" si="131"/>
        <v>0</v>
      </c>
      <c r="V567">
        <v>1</v>
      </c>
      <c r="W567">
        <v>0.22500000000000001</v>
      </c>
      <c r="X567">
        <f t="shared" si="132"/>
        <v>17148.600000000002</v>
      </c>
      <c r="Y567">
        <f t="shared" si="133"/>
        <v>17148.600000000002</v>
      </c>
      <c r="Z567">
        <f t="shared" si="134"/>
        <v>0</v>
      </c>
      <c r="AB567" t="s">
        <v>40</v>
      </c>
    </row>
    <row r="568" spans="1:28" x14ac:dyDescent="0.25">
      <c r="A568" t="s">
        <v>725</v>
      </c>
      <c r="B568" t="s">
        <v>797</v>
      </c>
      <c r="D568" t="s">
        <v>798</v>
      </c>
      <c r="E568" t="s">
        <v>417</v>
      </c>
      <c r="F568">
        <v>144952</v>
      </c>
      <c r="G568">
        <v>144952</v>
      </c>
      <c r="H568">
        <v>1</v>
      </c>
      <c r="I568">
        <f t="shared" si="124"/>
        <v>0</v>
      </c>
      <c r="J568">
        <v>0.4</v>
      </c>
      <c r="K568">
        <f t="shared" si="125"/>
        <v>57980.800000000003</v>
      </c>
      <c r="L568" t="s">
        <v>37</v>
      </c>
      <c r="N568">
        <f t="shared" si="126"/>
        <v>17245.809152000005</v>
      </c>
      <c r="O568">
        <f t="shared" si="127"/>
        <v>8.393540562972153E-2</v>
      </c>
      <c r="P568" t="s">
        <v>39</v>
      </c>
      <c r="Q568">
        <f t="shared" si="128"/>
        <v>0.57723246316021859</v>
      </c>
      <c r="R568">
        <f t="shared" si="129"/>
        <v>83671</v>
      </c>
      <c r="S568">
        <f t="shared" si="130"/>
        <v>83671</v>
      </c>
      <c r="T568">
        <v>83671</v>
      </c>
      <c r="U568">
        <f t="shared" si="131"/>
        <v>0</v>
      </c>
      <c r="V568">
        <v>1</v>
      </c>
      <c r="W568">
        <v>0.22500000000000001</v>
      </c>
      <c r="X568">
        <f t="shared" si="132"/>
        <v>18825.975000000002</v>
      </c>
      <c r="Y568">
        <f t="shared" si="133"/>
        <v>18825.975000000002</v>
      </c>
      <c r="Z568">
        <f t="shared" si="134"/>
        <v>0</v>
      </c>
      <c r="AB568" t="s">
        <v>40</v>
      </c>
    </row>
    <row r="569" spans="1:28" x14ac:dyDescent="0.25">
      <c r="A569" t="s">
        <v>725</v>
      </c>
      <c r="B569" t="s">
        <v>394</v>
      </c>
      <c r="D569" t="s">
        <v>799</v>
      </c>
      <c r="E569" t="s">
        <v>417</v>
      </c>
      <c r="F569">
        <v>132000</v>
      </c>
      <c r="G569">
        <v>132000</v>
      </c>
      <c r="H569">
        <v>1</v>
      </c>
      <c r="I569">
        <f t="shared" si="124"/>
        <v>0</v>
      </c>
      <c r="J569">
        <v>0.4</v>
      </c>
      <c r="K569">
        <f t="shared" si="125"/>
        <v>52800</v>
      </c>
      <c r="L569" t="s">
        <v>37</v>
      </c>
      <c r="N569">
        <f t="shared" si="126"/>
        <v>15704.832000000002</v>
      </c>
      <c r="O569">
        <f t="shared" si="127"/>
        <v>8.4191595815401837E-2</v>
      </c>
      <c r="P569" t="s">
        <v>39</v>
      </c>
      <c r="Q569">
        <f t="shared" si="128"/>
        <v>0.57739393939393935</v>
      </c>
      <c r="R569">
        <f t="shared" si="129"/>
        <v>76216</v>
      </c>
      <c r="S569">
        <f t="shared" si="130"/>
        <v>76216</v>
      </c>
      <c r="T569">
        <v>76216</v>
      </c>
      <c r="U569">
        <f t="shared" si="131"/>
        <v>0</v>
      </c>
      <c r="V569">
        <v>1</v>
      </c>
      <c r="W569">
        <v>0.22500000000000001</v>
      </c>
      <c r="X569">
        <f t="shared" si="132"/>
        <v>17148.600000000002</v>
      </c>
      <c r="Y569">
        <f t="shared" si="133"/>
        <v>17148.600000000002</v>
      </c>
      <c r="Z569">
        <f t="shared" si="134"/>
        <v>0</v>
      </c>
      <c r="AB569" t="s">
        <v>40</v>
      </c>
    </row>
    <row r="570" spans="1:28" x14ac:dyDescent="0.25">
      <c r="A570" t="s">
        <v>725</v>
      </c>
      <c r="B570" t="s">
        <v>800</v>
      </c>
      <c r="D570" t="s">
        <v>801</v>
      </c>
      <c r="E570" t="s">
        <v>417</v>
      </c>
      <c r="F570">
        <v>144952</v>
      </c>
      <c r="G570">
        <v>144952</v>
      </c>
      <c r="H570">
        <v>1</v>
      </c>
      <c r="I570">
        <f t="shared" si="124"/>
        <v>0</v>
      </c>
      <c r="J570">
        <v>0.4</v>
      </c>
      <c r="K570">
        <f t="shared" si="125"/>
        <v>57980.800000000003</v>
      </c>
      <c r="L570" t="s">
        <v>37</v>
      </c>
      <c r="N570">
        <f t="shared" si="126"/>
        <v>17245.809152000005</v>
      </c>
      <c r="O570">
        <f t="shared" si="127"/>
        <v>8.393540562972153E-2</v>
      </c>
      <c r="P570" t="s">
        <v>39</v>
      </c>
      <c r="Q570">
        <f t="shared" si="128"/>
        <v>0.57723246316021859</v>
      </c>
      <c r="R570">
        <f t="shared" si="129"/>
        <v>83671</v>
      </c>
      <c r="S570">
        <f t="shared" si="130"/>
        <v>83671</v>
      </c>
      <c r="T570">
        <v>83671</v>
      </c>
      <c r="U570">
        <f t="shared" si="131"/>
        <v>0</v>
      </c>
      <c r="V570">
        <v>1</v>
      </c>
      <c r="W570">
        <v>0.22500000000000001</v>
      </c>
      <c r="X570">
        <f t="shared" si="132"/>
        <v>18825.975000000002</v>
      </c>
      <c r="Y570">
        <f t="shared" si="133"/>
        <v>18825.975000000002</v>
      </c>
      <c r="Z570">
        <f t="shared" si="134"/>
        <v>0</v>
      </c>
      <c r="AB570" t="s">
        <v>40</v>
      </c>
    </row>
    <row r="571" spans="1:28" x14ac:dyDescent="0.25">
      <c r="A571" t="s">
        <v>725</v>
      </c>
      <c r="B571" t="s">
        <v>395</v>
      </c>
      <c r="D571" t="s">
        <v>802</v>
      </c>
      <c r="E571" t="s">
        <v>417</v>
      </c>
      <c r="F571">
        <v>132000</v>
      </c>
      <c r="G571">
        <v>132000</v>
      </c>
      <c r="H571">
        <v>1</v>
      </c>
      <c r="I571">
        <f t="shared" si="124"/>
        <v>0</v>
      </c>
      <c r="J571">
        <v>0.4</v>
      </c>
      <c r="K571">
        <f t="shared" si="125"/>
        <v>52800</v>
      </c>
      <c r="L571" t="s">
        <v>37</v>
      </c>
      <c r="N571">
        <f t="shared" si="126"/>
        <v>15704.832000000002</v>
      </c>
      <c r="O571">
        <f t="shared" si="127"/>
        <v>8.4191595815401837E-2</v>
      </c>
      <c r="P571" t="s">
        <v>39</v>
      </c>
      <c r="Q571">
        <f t="shared" si="128"/>
        <v>0.57739393939393935</v>
      </c>
      <c r="R571">
        <f t="shared" si="129"/>
        <v>76216</v>
      </c>
      <c r="S571">
        <f t="shared" si="130"/>
        <v>76216</v>
      </c>
      <c r="T571">
        <v>76216</v>
      </c>
      <c r="U571">
        <f t="shared" si="131"/>
        <v>0</v>
      </c>
      <c r="V571">
        <v>1</v>
      </c>
      <c r="W571">
        <v>0.22500000000000001</v>
      </c>
      <c r="X571">
        <f t="shared" si="132"/>
        <v>17148.600000000002</v>
      </c>
      <c r="Y571">
        <f t="shared" si="133"/>
        <v>17148.600000000002</v>
      </c>
      <c r="Z571">
        <f t="shared" si="134"/>
        <v>0</v>
      </c>
      <c r="AB571" t="s">
        <v>40</v>
      </c>
    </row>
    <row r="572" spans="1:28" x14ac:dyDescent="0.25">
      <c r="A572" t="s">
        <v>725</v>
      </c>
      <c r="B572" t="s">
        <v>803</v>
      </c>
      <c r="D572" t="s">
        <v>804</v>
      </c>
      <c r="E572" t="s">
        <v>417</v>
      </c>
      <c r="F572">
        <v>182286</v>
      </c>
      <c r="G572">
        <v>182286</v>
      </c>
      <c r="H572">
        <v>1</v>
      </c>
      <c r="I572">
        <f t="shared" si="124"/>
        <v>0</v>
      </c>
      <c r="J572">
        <v>0.4</v>
      </c>
      <c r="K572">
        <f t="shared" si="125"/>
        <v>72914.400000000009</v>
      </c>
      <c r="L572" t="s">
        <v>37</v>
      </c>
      <c r="N572">
        <f t="shared" ref="N572:N616" si="135">K572*$N$2*$O$2</f>
        <v>21687.659136000006</v>
      </c>
      <c r="O572">
        <f t="shared" si="127"/>
        <v>8.3844881618841988E-2</v>
      </c>
      <c r="P572" t="s">
        <v>39</v>
      </c>
      <c r="Q572">
        <f t="shared" si="128"/>
        <v>0.57717542762472163</v>
      </c>
      <c r="R572">
        <f t="shared" si="129"/>
        <v>105211</v>
      </c>
      <c r="S572">
        <f t="shared" si="130"/>
        <v>105211</v>
      </c>
      <c r="T572">
        <v>105211</v>
      </c>
      <c r="U572">
        <f t="shared" si="131"/>
        <v>0</v>
      </c>
      <c r="V572">
        <v>1</v>
      </c>
      <c r="W572">
        <v>0.22500000000000001</v>
      </c>
      <c r="X572">
        <f t="shared" si="132"/>
        <v>23672.475000000002</v>
      </c>
      <c r="Y572">
        <f t="shared" si="133"/>
        <v>23672.475000000002</v>
      </c>
      <c r="Z572">
        <f t="shared" si="134"/>
        <v>0</v>
      </c>
      <c r="AB572" t="s">
        <v>40</v>
      </c>
    </row>
    <row r="573" spans="1:28" x14ac:dyDescent="0.25">
      <c r="A573" t="s">
        <v>725</v>
      </c>
      <c r="B573" t="s">
        <v>396</v>
      </c>
      <c r="D573" t="s">
        <v>805</v>
      </c>
      <c r="E573" t="s">
        <v>417</v>
      </c>
      <c r="F573">
        <v>166667</v>
      </c>
      <c r="G573">
        <v>166667</v>
      </c>
      <c r="H573">
        <v>1</v>
      </c>
      <c r="I573">
        <f t="shared" si="124"/>
        <v>0</v>
      </c>
      <c r="J573">
        <v>0.4</v>
      </c>
      <c r="K573">
        <f t="shared" si="125"/>
        <v>66666.8</v>
      </c>
      <c r="L573" t="s">
        <v>37</v>
      </c>
      <c r="N573">
        <f t="shared" si="135"/>
        <v>19829.372992000004</v>
      </c>
      <c r="O573">
        <f t="shared" si="127"/>
        <v>8.290966897218327E-2</v>
      </c>
      <c r="P573" t="s">
        <v>39</v>
      </c>
      <c r="Q573">
        <f t="shared" si="128"/>
        <v>0.57658684682630634</v>
      </c>
      <c r="R573">
        <f t="shared" si="129"/>
        <v>96098</v>
      </c>
      <c r="S573">
        <f t="shared" si="130"/>
        <v>96098</v>
      </c>
      <c r="T573">
        <v>96098</v>
      </c>
      <c r="U573">
        <f t="shared" si="131"/>
        <v>0</v>
      </c>
      <c r="V573">
        <v>1</v>
      </c>
      <c r="W573">
        <v>0.22500000000000001</v>
      </c>
      <c r="X573">
        <f t="shared" si="132"/>
        <v>21622.05</v>
      </c>
      <c r="Y573">
        <f t="shared" si="133"/>
        <v>21622.05</v>
      </c>
      <c r="Z573">
        <f t="shared" si="134"/>
        <v>0</v>
      </c>
      <c r="AB573" t="s">
        <v>40</v>
      </c>
    </row>
    <row r="574" spans="1:28" x14ac:dyDescent="0.25">
      <c r="A574" t="s">
        <v>725</v>
      </c>
      <c r="B574" t="s">
        <v>806</v>
      </c>
      <c r="D574" t="s">
        <v>807</v>
      </c>
      <c r="E574" t="s">
        <v>417</v>
      </c>
      <c r="F574">
        <v>182286</v>
      </c>
      <c r="G574">
        <v>182286</v>
      </c>
      <c r="H574">
        <v>1</v>
      </c>
      <c r="I574">
        <f t="shared" si="124"/>
        <v>0</v>
      </c>
      <c r="J574">
        <v>0.4</v>
      </c>
      <c r="K574">
        <f t="shared" si="125"/>
        <v>72914.400000000009</v>
      </c>
      <c r="L574" t="s">
        <v>37</v>
      </c>
      <c r="N574">
        <f t="shared" si="135"/>
        <v>21687.659136000006</v>
      </c>
      <c r="O574">
        <f t="shared" si="127"/>
        <v>8.3844881618841988E-2</v>
      </c>
      <c r="P574" t="s">
        <v>39</v>
      </c>
      <c r="Q574">
        <f t="shared" si="128"/>
        <v>0.57717542762472163</v>
      </c>
      <c r="R574">
        <f t="shared" si="129"/>
        <v>105211</v>
      </c>
      <c r="S574">
        <f t="shared" si="130"/>
        <v>105211</v>
      </c>
      <c r="T574">
        <v>105211</v>
      </c>
      <c r="U574">
        <f t="shared" si="131"/>
        <v>0</v>
      </c>
      <c r="V574">
        <v>1</v>
      </c>
      <c r="W574">
        <v>0.22500000000000001</v>
      </c>
      <c r="X574">
        <f t="shared" si="132"/>
        <v>23672.475000000002</v>
      </c>
      <c r="Y574">
        <f t="shared" si="133"/>
        <v>23672.475000000002</v>
      </c>
      <c r="Z574">
        <f t="shared" si="134"/>
        <v>0</v>
      </c>
      <c r="AB574" t="s">
        <v>40</v>
      </c>
    </row>
    <row r="575" spans="1:28" x14ac:dyDescent="0.25">
      <c r="A575" t="s">
        <v>725</v>
      </c>
      <c r="B575" t="s">
        <v>397</v>
      </c>
      <c r="D575" t="s">
        <v>808</v>
      </c>
      <c r="E575" t="s">
        <v>417</v>
      </c>
      <c r="F575">
        <v>166667</v>
      </c>
      <c r="G575">
        <v>166667</v>
      </c>
      <c r="H575">
        <v>1</v>
      </c>
      <c r="I575">
        <f t="shared" ref="I575:I624" si="136">(G575-F575)/F575</f>
        <v>0</v>
      </c>
      <c r="J575">
        <v>0.4</v>
      </c>
      <c r="K575">
        <f t="shared" ref="K575:K624" si="137">F575*H575*J575</f>
        <v>66666.8</v>
      </c>
      <c r="L575" t="s">
        <v>37</v>
      </c>
      <c r="N575">
        <f t="shared" si="135"/>
        <v>19829.372992000004</v>
      </c>
      <c r="O575">
        <f t="shared" ref="O575:O624" si="138">(X575-N575)/X575</f>
        <v>8.290966897218327E-2</v>
      </c>
      <c r="P575" t="s">
        <v>39</v>
      </c>
      <c r="Q575">
        <f t="shared" ref="Q575:Q624" si="139">T575/F575</f>
        <v>0.57658684682630634</v>
      </c>
      <c r="R575">
        <f t="shared" ref="R575:R624" si="140">F575*Q575</f>
        <v>96098</v>
      </c>
      <c r="S575">
        <f t="shared" ref="S575:S624" si="141">G575*Q575</f>
        <v>96098</v>
      </c>
      <c r="T575">
        <v>96098</v>
      </c>
      <c r="U575">
        <f t="shared" ref="U575:U624" si="142">(T575-R575)/R575</f>
        <v>0</v>
      </c>
      <c r="V575">
        <v>1</v>
      </c>
      <c r="W575">
        <v>0.22500000000000001</v>
      </c>
      <c r="X575">
        <f t="shared" ref="X575:X624" si="143">R575*V575*W575</f>
        <v>21622.05</v>
      </c>
      <c r="Y575">
        <f t="shared" ref="Y575:Y624" si="144">S575*W575*V575</f>
        <v>21622.05</v>
      </c>
      <c r="Z575">
        <f t="shared" ref="Z575:Z624" si="145">(Y575-X575)/X575</f>
        <v>0</v>
      </c>
      <c r="AB575" t="s">
        <v>40</v>
      </c>
    </row>
    <row r="576" spans="1:28" x14ac:dyDescent="0.25">
      <c r="A576" t="s">
        <v>725</v>
      </c>
      <c r="B576" t="s">
        <v>809</v>
      </c>
      <c r="D576" t="s">
        <v>810</v>
      </c>
      <c r="E576" t="s">
        <v>417</v>
      </c>
      <c r="F576">
        <v>182286</v>
      </c>
      <c r="G576">
        <v>182286</v>
      </c>
      <c r="H576">
        <v>1</v>
      </c>
      <c r="I576">
        <f t="shared" si="136"/>
        <v>0</v>
      </c>
      <c r="J576">
        <v>0.4</v>
      </c>
      <c r="K576">
        <f t="shared" si="137"/>
        <v>72914.400000000009</v>
      </c>
      <c r="L576" t="s">
        <v>37</v>
      </c>
      <c r="N576">
        <f t="shared" si="135"/>
        <v>21687.659136000006</v>
      </c>
      <c r="O576">
        <f t="shared" si="138"/>
        <v>8.3844881618841988E-2</v>
      </c>
      <c r="P576" t="s">
        <v>39</v>
      </c>
      <c r="Q576">
        <f t="shared" si="139"/>
        <v>0.57717542762472163</v>
      </c>
      <c r="R576">
        <f t="shared" si="140"/>
        <v>105211</v>
      </c>
      <c r="S576">
        <f t="shared" si="141"/>
        <v>105211</v>
      </c>
      <c r="T576">
        <v>105211</v>
      </c>
      <c r="U576">
        <f t="shared" si="142"/>
        <v>0</v>
      </c>
      <c r="V576">
        <v>1</v>
      </c>
      <c r="W576">
        <v>0.22500000000000001</v>
      </c>
      <c r="X576">
        <f t="shared" si="143"/>
        <v>23672.475000000002</v>
      </c>
      <c r="Y576">
        <f t="shared" si="144"/>
        <v>23672.475000000002</v>
      </c>
      <c r="Z576">
        <f t="shared" si="145"/>
        <v>0</v>
      </c>
      <c r="AB576" t="s">
        <v>40</v>
      </c>
    </row>
    <row r="577" spans="1:28" x14ac:dyDescent="0.25">
      <c r="A577" t="s">
        <v>725</v>
      </c>
      <c r="B577" t="s">
        <v>398</v>
      </c>
      <c r="D577" t="s">
        <v>811</v>
      </c>
      <c r="E577" t="s">
        <v>417</v>
      </c>
      <c r="F577">
        <v>166667</v>
      </c>
      <c r="G577">
        <v>166667</v>
      </c>
      <c r="H577">
        <v>1</v>
      </c>
      <c r="I577">
        <f t="shared" si="136"/>
        <v>0</v>
      </c>
      <c r="J577">
        <v>0.4</v>
      </c>
      <c r="K577">
        <f t="shared" si="137"/>
        <v>66666.8</v>
      </c>
      <c r="L577" t="s">
        <v>37</v>
      </c>
      <c r="N577">
        <f t="shared" si="135"/>
        <v>19829.372992000004</v>
      </c>
      <c r="O577">
        <f t="shared" si="138"/>
        <v>8.290966897218327E-2</v>
      </c>
      <c r="P577" t="s">
        <v>39</v>
      </c>
      <c r="Q577">
        <f t="shared" si="139"/>
        <v>0.57658684682630634</v>
      </c>
      <c r="R577">
        <f t="shared" si="140"/>
        <v>96098</v>
      </c>
      <c r="S577">
        <f t="shared" si="141"/>
        <v>96098</v>
      </c>
      <c r="T577">
        <v>96098</v>
      </c>
      <c r="U577">
        <f t="shared" si="142"/>
        <v>0</v>
      </c>
      <c r="V577">
        <v>1</v>
      </c>
      <c r="W577">
        <v>0.22500000000000001</v>
      </c>
      <c r="X577">
        <f t="shared" si="143"/>
        <v>21622.05</v>
      </c>
      <c r="Y577">
        <f t="shared" si="144"/>
        <v>21622.05</v>
      </c>
      <c r="Z577">
        <f t="shared" si="145"/>
        <v>0</v>
      </c>
      <c r="AB577" t="s">
        <v>40</v>
      </c>
    </row>
    <row r="578" spans="1:28" x14ac:dyDescent="0.25">
      <c r="A578" t="s">
        <v>725</v>
      </c>
      <c r="B578" t="s">
        <v>812</v>
      </c>
      <c r="D578" t="s">
        <v>813</v>
      </c>
      <c r="E578" t="s">
        <v>417</v>
      </c>
      <c r="F578">
        <v>182286</v>
      </c>
      <c r="G578">
        <v>182286</v>
      </c>
      <c r="H578">
        <v>1</v>
      </c>
      <c r="I578">
        <f t="shared" si="136"/>
        <v>0</v>
      </c>
      <c r="J578">
        <v>0.4</v>
      </c>
      <c r="K578">
        <f t="shared" si="137"/>
        <v>72914.400000000009</v>
      </c>
      <c r="L578" t="s">
        <v>37</v>
      </c>
      <c r="N578">
        <f t="shared" si="135"/>
        <v>21687.659136000006</v>
      </c>
      <c r="O578">
        <f t="shared" si="138"/>
        <v>8.3844881618841988E-2</v>
      </c>
      <c r="P578" t="s">
        <v>39</v>
      </c>
      <c r="Q578">
        <f t="shared" si="139"/>
        <v>0.57717542762472163</v>
      </c>
      <c r="R578">
        <f t="shared" si="140"/>
        <v>105211</v>
      </c>
      <c r="S578">
        <f t="shared" si="141"/>
        <v>105211</v>
      </c>
      <c r="T578">
        <v>105211</v>
      </c>
      <c r="U578">
        <f t="shared" si="142"/>
        <v>0</v>
      </c>
      <c r="V578">
        <v>1</v>
      </c>
      <c r="W578">
        <v>0.22500000000000001</v>
      </c>
      <c r="X578">
        <f t="shared" si="143"/>
        <v>23672.475000000002</v>
      </c>
      <c r="Y578">
        <f t="shared" si="144"/>
        <v>23672.475000000002</v>
      </c>
      <c r="Z578">
        <f t="shared" si="145"/>
        <v>0</v>
      </c>
      <c r="AB578" t="s">
        <v>40</v>
      </c>
    </row>
    <row r="579" spans="1:28" x14ac:dyDescent="0.25">
      <c r="A579" t="s">
        <v>725</v>
      </c>
      <c r="B579" t="s">
        <v>399</v>
      </c>
      <c r="D579" t="s">
        <v>814</v>
      </c>
      <c r="E579" t="s">
        <v>417</v>
      </c>
      <c r="F579">
        <v>166667</v>
      </c>
      <c r="G579">
        <v>166667</v>
      </c>
      <c r="H579">
        <v>1</v>
      </c>
      <c r="I579">
        <f t="shared" si="136"/>
        <v>0</v>
      </c>
      <c r="J579">
        <v>0.4</v>
      </c>
      <c r="K579">
        <f t="shared" si="137"/>
        <v>66666.8</v>
      </c>
      <c r="L579" t="s">
        <v>37</v>
      </c>
      <c r="N579">
        <f t="shared" si="135"/>
        <v>19829.372992000004</v>
      </c>
      <c r="O579">
        <f t="shared" si="138"/>
        <v>8.290966897218327E-2</v>
      </c>
      <c r="P579" t="s">
        <v>39</v>
      </c>
      <c r="Q579">
        <f t="shared" si="139"/>
        <v>0.57658684682630634</v>
      </c>
      <c r="R579">
        <f t="shared" si="140"/>
        <v>96098</v>
      </c>
      <c r="S579">
        <f t="shared" si="141"/>
        <v>96098</v>
      </c>
      <c r="T579">
        <v>96098</v>
      </c>
      <c r="U579">
        <f t="shared" si="142"/>
        <v>0</v>
      </c>
      <c r="V579">
        <v>1</v>
      </c>
      <c r="W579">
        <v>0.22500000000000001</v>
      </c>
      <c r="X579">
        <f t="shared" si="143"/>
        <v>21622.05</v>
      </c>
      <c r="Y579">
        <f t="shared" si="144"/>
        <v>21622.05</v>
      </c>
      <c r="Z579">
        <f t="shared" si="145"/>
        <v>0</v>
      </c>
      <c r="AB579" t="s">
        <v>40</v>
      </c>
    </row>
    <row r="580" spans="1:28" x14ac:dyDescent="0.25">
      <c r="A580" t="s">
        <v>725</v>
      </c>
      <c r="B580" t="s">
        <v>815</v>
      </c>
      <c r="D580" t="s">
        <v>816</v>
      </c>
      <c r="E580" t="s">
        <v>417</v>
      </c>
      <c r="F580">
        <v>272571</v>
      </c>
      <c r="G580">
        <v>272571</v>
      </c>
      <c r="H580">
        <v>1</v>
      </c>
      <c r="I580">
        <f t="shared" si="136"/>
        <v>0</v>
      </c>
      <c r="J580">
        <v>0.4</v>
      </c>
      <c r="K580">
        <f t="shared" si="137"/>
        <v>109028.40000000001</v>
      </c>
      <c r="L580" t="s">
        <v>37</v>
      </c>
      <c r="N580">
        <f t="shared" si="135"/>
        <v>32429.407296000009</v>
      </c>
      <c r="O580">
        <f t="shared" si="138"/>
        <v>8.4314690452895427E-2</v>
      </c>
      <c r="P580" t="s">
        <v>39</v>
      </c>
      <c r="Q580">
        <f t="shared" si="139"/>
        <v>0.5774715578693258</v>
      </c>
      <c r="R580">
        <f t="shared" si="140"/>
        <v>157402</v>
      </c>
      <c r="S580">
        <f t="shared" si="141"/>
        <v>157402</v>
      </c>
      <c r="T580">
        <v>157402</v>
      </c>
      <c r="U580">
        <f t="shared" si="142"/>
        <v>0</v>
      </c>
      <c r="V580">
        <v>1</v>
      </c>
      <c r="W580">
        <v>0.22500000000000001</v>
      </c>
      <c r="X580">
        <f t="shared" si="143"/>
        <v>35415.450000000004</v>
      </c>
      <c r="Y580">
        <f t="shared" si="144"/>
        <v>35415.450000000004</v>
      </c>
      <c r="Z580">
        <f t="shared" si="145"/>
        <v>0</v>
      </c>
      <c r="AB580" t="s">
        <v>40</v>
      </c>
    </row>
    <row r="581" spans="1:28" x14ac:dyDescent="0.25">
      <c r="A581" t="s">
        <v>725</v>
      </c>
      <c r="B581" t="s">
        <v>330</v>
      </c>
      <c r="D581" t="s">
        <v>817</v>
      </c>
      <c r="E581" t="s">
        <v>417</v>
      </c>
      <c r="F581">
        <v>246857</v>
      </c>
      <c r="G581">
        <v>246857</v>
      </c>
      <c r="H581">
        <v>1</v>
      </c>
      <c r="I581">
        <f t="shared" si="136"/>
        <v>0</v>
      </c>
      <c r="J581">
        <v>0.4</v>
      </c>
      <c r="K581">
        <f t="shared" si="137"/>
        <v>98742.8</v>
      </c>
      <c r="L581" t="s">
        <v>37</v>
      </c>
      <c r="N581">
        <f t="shared" si="135"/>
        <v>29370.058432000005</v>
      </c>
      <c r="O581">
        <f t="shared" si="138"/>
        <v>8.391049876404566E-2</v>
      </c>
      <c r="P581" t="s">
        <v>39</v>
      </c>
      <c r="Q581">
        <f t="shared" si="139"/>
        <v>0.5772167692226674</v>
      </c>
      <c r="R581">
        <f t="shared" si="140"/>
        <v>142490</v>
      </c>
      <c r="S581">
        <f t="shared" si="141"/>
        <v>142490</v>
      </c>
      <c r="T581">
        <v>142490</v>
      </c>
      <c r="U581">
        <f t="shared" si="142"/>
        <v>0</v>
      </c>
      <c r="V581">
        <v>1</v>
      </c>
      <c r="W581">
        <v>0.22500000000000001</v>
      </c>
      <c r="X581">
        <f t="shared" si="143"/>
        <v>32060.25</v>
      </c>
      <c r="Y581">
        <f t="shared" si="144"/>
        <v>32060.25</v>
      </c>
      <c r="Z581">
        <f t="shared" si="145"/>
        <v>0</v>
      </c>
      <c r="AB581" t="s">
        <v>40</v>
      </c>
    </row>
    <row r="582" spans="1:28" x14ac:dyDescent="0.25">
      <c r="A582" t="s">
        <v>725</v>
      </c>
      <c r="B582" t="s">
        <v>818</v>
      </c>
      <c r="D582" t="s">
        <v>819</v>
      </c>
      <c r="E582" t="s">
        <v>417</v>
      </c>
      <c r="F582">
        <v>272571</v>
      </c>
      <c r="G582">
        <v>272571</v>
      </c>
      <c r="H582">
        <v>1</v>
      </c>
      <c r="I582">
        <f t="shared" si="136"/>
        <v>0</v>
      </c>
      <c r="J582">
        <v>0.4</v>
      </c>
      <c r="K582">
        <f t="shared" si="137"/>
        <v>109028.40000000001</v>
      </c>
      <c r="L582" t="s">
        <v>37</v>
      </c>
      <c r="N582">
        <f t="shared" si="135"/>
        <v>32429.407296000009</v>
      </c>
      <c r="O582">
        <f t="shared" si="138"/>
        <v>8.4314690452895427E-2</v>
      </c>
      <c r="P582" t="s">
        <v>39</v>
      </c>
      <c r="Q582">
        <f t="shared" si="139"/>
        <v>0.5774715578693258</v>
      </c>
      <c r="R582">
        <f t="shared" si="140"/>
        <v>157402</v>
      </c>
      <c r="S582">
        <f t="shared" si="141"/>
        <v>157402</v>
      </c>
      <c r="T582">
        <v>157402</v>
      </c>
      <c r="U582">
        <f t="shared" si="142"/>
        <v>0</v>
      </c>
      <c r="V582">
        <v>1</v>
      </c>
      <c r="W582">
        <v>0.22500000000000001</v>
      </c>
      <c r="X582">
        <f t="shared" si="143"/>
        <v>35415.450000000004</v>
      </c>
      <c r="Y582">
        <f t="shared" si="144"/>
        <v>35415.450000000004</v>
      </c>
      <c r="Z582">
        <f t="shared" si="145"/>
        <v>0</v>
      </c>
      <c r="AB582" t="s">
        <v>40</v>
      </c>
    </row>
    <row r="583" spans="1:28" x14ac:dyDescent="0.25">
      <c r="A583" t="s">
        <v>725</v>
      </c>
      <c r="B583" t="s">
        <v>332</v>
      </c>
      <c r="D583" t="s">
        <v>820</v>
      </c>
      <c r="E583" t="s">
        <v>417</v>
      </c>
      <c r="F583">
        <v>246857</v>
      </c>
      <c r="G583">
        <v>246857</v>
      </c>
      <c r="H583">
        <v>1</v>
      </c>
      <c r="I583">
        <f t="shared" si="136"/>
        <v>0</v>
      </c>
      <c r="J583">
        <v>0.4</v>
      </c>
      <c r="K583">
        <f t="shared" si="137"/>
        <v>98742.8</v>
      </c>
      <c r="L583" t="s">
        <v>37</v>
      </c>
      <c r="N583">
        <f t="shared" si="135"/>
        <v>29370.058432000005</v>
      </c>
      <c r="O583">
        <f t="shared" si="138"/>
        <v>8.391049876404566E-2</v>
      </c>
      <c r="P583" t="s">
        <v>39</v>
      </c>
      <c r="Q583">
        <f t="shared" si="139"/>
        <v>0.5772167692226674</v>
      </c>
      <c r="R583">
        <f t="shared" si="140"/>
        <v>142490</v>
      </c>
      <c r="S583">
        <f t="shared" si="141"/>
        <v>142490</v>
      </c>
      <c r="T583">
        <v>142490</v>
      </c>
      <c r="U583">
        <f t="shared" si="142"/>
        <v>0</v>
      </c>
      <c r="V583">
        <v>1</v>
      </c>
      <c r="W583">
        <v>0.22500000000000001</v>
      </c>
      <c r="X583">
        <f t="shared" si="143"/>
        <v>32060.25</v>
      </c>
      <c r="Y583">
        <f t="shared" si="144"/>
        <v>32060.25</v>
      </c>
      <c r="Z583">
        <f t="shared" si="145"/>
        <v>0</v>
      </c>
      <c r="AB583" t="s">
        <v>40</v>
      </c>
    </row>
    <row r="584" spans="1:28" x14ac:dyDescent="0.25">
      <c r="A584" t="s">
        <v>725</v>
      </c>
      <c r="B584" t="s">
        <v>821</v>
      </c>
      <c r="D584" t="s">
        <v>822</v>
      </c>
      <c r="E584" t="s">
        <v>417</v>
      </c>
      <c r="F584">
        <v>272571</v>
      </c>
      <c r="G584">
        <v>272571</v>
      </c>
      <c r="H584">
        <v>1</v>
      </c>
      <c r="I584">
        <f t="shared" si="136"/>
        <v>0</v>
      </c>
      <c r="J584">
        <v>0.4</v>
      </c>
      <c r="K584">
        <f t="shared" si="137"/>
        <v>109028.40000000001</v>
      </c>
      <c r="L584" t="s">
        <v>37</v>
      </c>
      <c r="N584">
        <f t="shared" si="135"/>
        <v>32429.407296000009</v>
      </c>
      <c r="O584">
        <f t="shared" si="138"/>
        <v>8.4314690452895427E-2</v>
      </c>
      <c r="P584" t="s">
        <v>39</v>
      </c>
      <c r="Q584">
        <f t="shared" si="139"/>
        <v>0.5774715578693258</v>
      </c>
      <c r="R584">
        <f t="shared" si="140"/>
        <v>157402</v>
      </c>
      <c r="S584">
        <f t="shared" si="141"/>
        <v>157402</v>
      </c>
      <c r="T584">
        <v>157402</v>
      </c>
      <c r="U584">
        <f t="shared" si="142"/>
        <v>0</v>
      </c>
      <c r="V584">
        <v>1</v>
      </c>
      <c r="W584">
        <v>0.22500000000000001</v>
      </c>
      <c r="X584">
        <f t="shared" si="143"/>
        <v>35415.450000000004</v>
      </c>
      <c r="Y584">
        <f t="shared" si="144"/>
        <v>35415.450000000004</v>
      </c>
      <c r="Z584">
        <f t="shared" si="145"/>
        <v>0</v>
      </c>
      <c r="AB584" t="s">
        <v>40</v>
      </c>
    </row>
    <row r="585" spans="1:28" x14ac:dyDescent="0.25">
      <c r="A585" t="s">
        <v>725</v>
      </c>
      <c r="B585" t="s">
        <v>334</v>
      </c>
      <c r="D585" t="s">
        <v>823</v>
      </c>
      <c r="E585" t="s">
        <v>417</v>
      </c>
      <c r="F585">
        <v>246857</v>
      </c>
      <c r="G585">
        <v>246857</v>
      </c>
      <c r="H585">
        <v>1</v>
      </c>
      <c r="I585">
        <f t="shared" si="136"/>
        <v>0</v>
      </c>
      <c r="J585">
        <v>0.4</v>
      </c>
      <c r="K585">
        <f t="shared" si="137"/>
        <v>98742.8</v>
      </c>
      <c r="L585" t="s">
        <v>37</v>
      </c>
      <c r="N585">
        <f t="shared" si="135"/>
        <v>29370.058432000005</v>
      </c>
      <c r="O585">
        <f t="shared" si="138"/>
        <v>8.391049876404566E-2</v>
      </c>
      <c r="P585" t="s">
        <v>39</v>
      </c>
      <c r="Q585">
        <f t="shared" si="139"/>
        <v>0.5772167692226674</v>
      </c>
      <c r="R585">
        <f t="shared" si="140"/>
        <v>142490</v>
      </c>
      <c r="S585">
        <f t="shared" si="141"/>
        <v>142490</v>
      </c>
      <c r="T585">
        <v>142490</v>
      </c>
      <c r="U585">
        <f t="shared" si="142"/>
        <v>0</v>
      </c>
      <c r="V585">
        <v>1</v>
      </c>
      <c r="W585">
        <v>0.22500000000000001</v>
      </c>
      <c r="X585">
        <f t="shared" si="143"/>
        <v>32060.25</v>
      </c>
      <c r="Y585">
        <f t="shared" si="144"/>
        <v>32060.25</v>
      </c>
      <c r="Z585">
        <f t="shared" si="145"/>
        <v>0</v>
      </c>
      <c r="AB585" t="s">
        <v>40</v>
      </c>
    </row>
    <row r="586" spans="1:28" x14ac:dyDescent="0.25">
      <c r="A586" t="s">
        <v>725</v>
      </c>
      <c r="B586" t="s">
        <v>824</v>
      </c>
      <c r="D586" t="s">
        <v>825</v>
      </c>
      <c r="E586" t="s">
        <v>417</v>
      </c>
      <c r="F586">
        <v>272571</v>
      </c>
      <c r="G586">
        <v>272571</v>
      </c>
      <c r="H586">
        <v>1</v>
      </c>
      <c r="I586">
        <f t="shared" si="136"/>
        <v>0</v>
      </c>
      <c r="J586">
        <v>0.4</v>
      </c>
      <c r="K586">
        <f t="shared" si="137"/>
        <v>109028.40000000001</v>
      </c>
      <c r="L586" t="s">
        <v>37</v>
      </c>
      <c r="N586">
        <f t="shared" si="135"/>
        <v>32429.407296000009</v>
      </c>
      <c r="O586">
        <f t="shared" si="138"/>
        <v>8.4314690452895427E-2</v>
      </c>
      <c r="P586" t="s">
        <v>39</v>
      </c>
      <c r="Q586">
        <f t="shared" si="139"/>
        <v>0.5774715578693258</v>
      </c>
      <c r="R586">
        <f t="shared" si="140"/>
        <v>157402</v>
      </c>
      <c r="S586">
        <f t="shared" si="141"/>
        <v>157402</v>
      </c>
      <c r="T586">
        <v>157402</v>
      </c>
      <c r="U586">
        <f t="shared" si="142"/>
        <v>0</v>
      </c>
      <c r="V586">
        <v>1</v>
      </c>
      <c r="W586">
        <v>0.22500000000000001</v>
      </c>
      <c r="X586">
        <f t="shared" si="143"/>
        <v>35415.450000000004</v>
      </c>
      <c r="Y586">
        <f t="shared" si="144"/>
        <v>35415.450000000004</v>
      </c>
      <c r="Z586">
        <f t="shared" si="145"/>
        <v>0</v>
      </c>
      <c r="AB586" t="s">
        <v>40</v>
      </c>
    </row>
    <row r="587" spans="1:28" x14ac:dyDescent="0.25">
      <c r="A587" t="s">
        <v>725</v>
      </c>
      <c r="B587" t="s">
        <v>336</v>
      </c>
      <c r="D587" t="s">
        <v>826</v>
      </c>
      <c r="E587" t="s">
        <v>417</v>
      </c>
      <c r="F587">
        <v>246857</v>
      </c>
      <c r="G587">
        <v>246857</v>
      </c>
      <c r="H587">
        <v>1</v>
      </c>
      <c r="I587">
        <f t="shared" si="136"/>
        <v>0</v>
      </c>
      <c r="J587">
        <v>0.4</v>
      </c>
      <c r="K587">
        <f t="shared" si="137"/>
        <v>98742.8</v>
      </c>
      <c r="L587" t="s">
        <v>37</v>
      </c>
      <c r="N587">
        <f t="shared" si="135"/>
        <v>29370.058432000005</v>
      </c>
      <c r="O587">
        <f t="shared" si="138"/>
        <v>8.391049876404566E-2</v>
      </c>
      <c r="P587" t="s">
        <v>39</v>
      </c>
      <c r="Q587">
        <f t="shared" si="139"/>
        <v>0.5772167692226674</v>
      </c>
      <c r="R587">
        <f t="shared" si="140"/>
        <v>142490</v>
      </c>
      <c r="S587">
        <f t="shared" si="141"/>
        <v>142490</v>
      </c>
      <c r="T587">
        <v>142490</v>
      </c>
      <c r="U587">
        <f t="shared" si="142"/>
        <v>0</v>
      </c>
      <c r="V587">
        <v>1</v>
      </c>
      <c r="W587">
        <v>0.22500000000000001</v>
      </c>
      <c r="X587">
        <f t="shared" si="143"/>
        <v>32060.25</v>
      </c>
      <c r="Y587">
        <f t="shared" si="144"/>
        <v>32060.25</v>
      </c>
      <c r="Z587">
        <f t="shared" si="145"/>
        <v>0</v>
      </c>
      <c r="AB587" t="s">
        <v>40</v>
      </c>
    </row>
    <row r="588" spans="1:28" x14ac:dyDescent="0.25">
      <c r="A588" t="s">
        <v>725</v>
      </c>
      <c r="B588" t="s">
        <v>827</v>
      </c>
      <c r="D588" t="s">
        <v>828</v>
      </c>
      <c r="E588" t="s">
        <v>417</v>
      </c>
      <c r="F588">
        <v>312762</v>
      </c>
      <c r="G588">
        <v>312762</v>
      </c>
      <c r="H588">
        <v>1</v>
      </c>
      <c r="I588">
        <f t="shared" si="136"/>
        <v>0</v>
      </c>
      <c r="J588">
        <v>0.4</v>
      </c>
      <c r="K588">
        <f t="shared" si="137"/>
        <v>125104.8</v>
      </c>
      <c r="L588" t="s">
        <v>37</v>
      </c>
      <c r="N588">
        <f t="shared" si="135"/>
        <v>37211.171712000003</v>
      </c>
      <c r="O588">
        <f t="shared" si="138"/>
        <v>8.4247968489868666E-2</v>
      </c>
      <c r="P588" t="s">
        <v>39</v>
      </c>
      <c r="Q588">
        <f t="shared" si="139"/>
        <v>0.57742948312135101</v>
      </c>
      <c r="R588">
        <f t="shared" si="140"/>
        <v>180597.99999999997</v>
      </c>
      <c r="S588">
        <f t="shared" si="141"/>
        <v>180597.99999999997</v>
      </c>
      <c r="T588">
        <v>180598</v>
      </c>
      <c r="U588">
        <f t="shared" si="142"/>
        <v>1.6115256235802007E-16</v>
      </c>
      <c r="V588">
        <v>1</v>
      </c>
      <c r="W588">
        <v>0.22500000000000001</v>
      </c>
      <c r="X588">
        <f t="shared" si="143"/>
        <v>40634.549999999996</v>
      </c>
      <c r="Y588">
        <f t="shared" si="144"/>
        <v>40634.549999999996</v>
      </c>
      <c r="Z588">
        <f t="shared" si="145"/>
        <v>0</v>
      </c>
      <c r="AB588" t="s">
        <v>40</v>
      </c>
    </row>
    <row r="589" spans="1:28" x14ac:dyDescent="0.25">
      <c r="A589" t="s">
        <v>725</v>
      </c>
      <c r="B589" t="s">
        <v>400</v>
      </c>
      <c r="D589" t="s">
        <v>829</v>
      </c>
      <c r="E589" t="s">
        <v>417</v>
      </c>
      <c r="F589">
        <v>284000</v>
      </c>
      <c r="G589">
        <v>284000</v>
      </c>
      <c r="H589">
        <v>1</v>
      </c>
      <c r="I589">
        <f t="shared" si="136"/>
        <v>0</v>
      </c>
      <c r="J589">
        <v>0.4</v>
      </c>
      <c r="K589">
        <f t="shared" si="137"/>
        <v>113600</v>
      </c>
      <c r="L589" t="s">
        <v>37</v>
      </c>
      <c r="N589">
        <f t="shared" si="135"/>
        <v>33789.184000000001</v>
      </c>
      <c r="O589">
        <f t="shared" si="138"/>
        <v>8.446584987343024E-2</v>
      </c>
      <c r="P589" t="s">
        <v>39</v>
      </c>
      <c r="Q589">
        <f t="shared" si="139"/>
        <v>0.57756690140845068</v>
      </c>
      <c r="R589">
        <f t="shared" si="140"/>
        <v>164029</v>
      </c>
      <c r="S589">
        <f t="shared" si="141"/>
        <v>164029</v>
      </c>
      <c r="T589">
        <v>164029</v>
      </c>
      <c r="U589">
        <f t="shared" si="142"/>
        <v>0</v>
      </c>
      <c r="V589">
        <v>1</v>
      </c>
      <c r="W589">
        <v>0.22500000000000001</v>
      </c>
      <c r="X589">
        <f t="shared" si="143"/>
        <v>36906.525000000001</v>
      </c>
      <c r="Y589">
        <f t="shared" si="144"/>
        <v>36906.525000000001</v>
      </c>
      <c r="Z589">
        <f t="shared" si="145"/>
        <v>0</v>
      </c>
      <c r="AB589" t="s">
        <v>40</v>
      </c>
    </row>
    <row r="590" spans="1:28" x14ac:dyDescent="0.25">
      <c r="A590" t="s">
        <v>725</v>
      </c>
      <c r="B590" t="s">
        <v>830</v>
      </c>
      <c r="D590" t="s">
        <v>831</v>
      </c>
      <c r="E590" t="s">
        <v>417</v>
      </c>
      <c r="F590">
        <v>312762</v>
      </c>
      <c r="G590">
        <v>312762</v>
      </c>
      <c r="H590">
        <v>1</v>
      </c>
      <c r="I590">
        <f t="shared" si="136"/>
        <v>0</v>
      </c>
      <c r="J590">
        <v>0.4</v>
      </c>
      <c r="K590">
        <f t="shared" si="137"/>
        <v>125104.8</v>
      </c>
      <c r="L590" t="s">
        <v>37</v>
      </c>
      <c r="N590">
        <f t="shared" si="135"/>
        <v>37211.171712000003</v>
      </c>
      <c r="O590">
        <f t="shared" si="138"/>
        <v>8.4247968489868666E-2</v>
      </c>
      <c r="P590" t="s">
        <v>39</v>
      </c>
      <c r="Q590">
        <f t="shared" si="139"/>
        <v>0.57742948312135101</v>
      </c>
      <c r="R590">
        <f t="shared" si="140"/>
        <v>180597.99999999997</v>
      </c>
      <c r="S590">
        <f t="shared" si="141"/>
        <v>180597.99999999997</v>
      </c>
      <c r="T590">
        <v>180598</v>
      </c>
      <c r="U590">
        <f t="shared" si="142"/>
        <v>1.6115256235802007E-16</v>
      </c>
      <c r="V590">
        <v>1</v>
      </c>
      <c r="W590">
        <v>0.22500000000000001</v>
      </c>
      <c r="X590">
        <f t="shared" si="143"/>
        <v>40634.549999999996</v>
      </c>
      <c r="Y590">
        <f t="shared" si="144"/>
        <v>40634.549999999996</v>
      </c>
      <c r="Z590">
        <f t="shared" si="145"/>
        <v>0</v>
      </c>
      <c r="AB590" t="s">
        <v>40</v>
      </c>
    </row>
    <row r="591" spans="1:28" x14ac:dyDescent="0.25">
      <c r="A591" t="s">
        <v>725</v>
      </c>
      <c r="B591" t="s">
        <v>401</v>
      </c>
      <c r="D591" t="s">
        <v>832</v>
      </c>
      <c r="E591" t="s">
        <v>417</v>
      </c>
      <c r="F591">
        <v>284000</v>
      </c>
      <c r="G591">
        <v>284000</v>
      </c>
      <c r="H591">
        <v>1</v>
      </c>
      <c r="I591">
        <f t="shared" si="136"/>
        <v>0</v>
      </c>
      <c r="J591">
        <v>0.4</v>
      </c>
      <c r="K591">
        <f t="shared" si="137"/>
        <v>113600</v>
      </c>
      <c r="L591" t="s">
        <v>37</v>
      </c>
      <c r="N591">
        <f t="shared" si="135"/>
        <v>33789.184000000001</v>
      </c>
      <c r="O591">
        <f t="shared" si="138"/>
        <v>8.446584987343024E-2</v>
      </c>
      <c r="P591" t="s">
        <v>39</v>
      </c>
      <c r="Q591">
        <f t="shared" si="139"/>
        <v>0.57756690140845068</v>
      </c>
      <c r="R591">
        <f t="shared" si="140"/>
        <v>164029</v>
      </c>
      <c r="S591">
        <f t="shared" si="141"/>
        <v>164029</v>
      </c>
      <c r="T591">
        <v>164029</v>
      </c>
      <c r="U591">
        <f t="shared" si="142"/>
        <v>0</v>
      </c>
      <c r="V591">
        <v>1</v>
      </c>
      <c r="W591">
        <v>0.22500000000000001</v>
      </c>
      <c r="X591">
        <f t="shared" si="143"/>
        <v>36906.525000000001</v>
      </c>
      <c r="Y591">
        <f t="shared" si="144"/>
        <v>36906.525000000001</v>
      </c>
      <c r="Z591">
        <f t="shared" si="145"/>
        <v>0</v>
      </c>
      <c r="AB591" t="s">
        <v>40</v>
      </c>
    </row>
    <row r="592" spans="1:28" x14ac:dyDescent="0.25">
      <c r="A592" t="s">
        <v>725</v>
      </c>
      <c r="B592" t="s">
        <v>833</v>
      </c>
      <c r="D592" t="s">
        <v>834</v>
      </c>
      <c r="E592" t="s">
        <v>417</v>
      </c>
      <c r="F592">
        <v>312762</v>
      </c>
      <c r="G592">
        <v>312762</v>
      </c>
      <c r="H592">
        <v>1</v>
      </c>
      <c r="I592">
        <f t="shared" si="136"/>
        <v>0</v>
      </c>
      <c r="J592">
        <v>0.4</v>
      </c>
      <c r="K592">
        <f t="shared" si="137"/>
        <v>125104.8</v>
      </c>
      <c r="L592" t="s">
        <v>37</v>
      </c>
      <c r="N592">
        <f t="shared" si="135"/>
        <v>37211.171712000003</v>
      </c>
      <c r="O592">
        <f t="shared" si="138"/>
        <v>8.4247968489868666E-2</v>
      </c>
      <c r="P592" t="s">
        <v>39</v>
      </c>
      <c r="Q592">
        <f t="shared" si="139"/>
        <v>0.57742948312135101</v>
      </c>
      <c r="R592">
        <f t="shared" si="140"/>
        <v>180597.99999999997</v>
      </c>
      <c r="S592">
        <f t="shared" si="141"/>
        <v>180597.99999999997</v>
      </c>
      <c r="T592">
        <v>180598</v>
      </c>
      <c r="U592">
        <f t="shared" si="142"/>
        <v>1.6115256235802007E-16</v>
      </c>
      <c r="V592">
        <v>1</v>
      </c>
      <c r="W592">
        <v>0.22500000000000001</v>
      </c>
      <c r="X592">
        <f t="shared" si="143"/>
        <v>40634.549999999996</v>
      </c>
      <c r="Y592">
        <f t="shared" si="144"/>
        <v>40634.549999999996</v>
      </c>
      <c r="Z592">
        <f t="shared" si="145"/>
        <v>0</v>
      </c>
      <c r="AB592" t="s">
        <v>40</v>
      </c>
    </row>
    <row r="593" spans="1:28" x14ac:dyDescent="0.25">
      <c r="A593" t="s">
        <v>725</v>
      </c>
      <c r="B593" t="s">
        <v>402</v>
      </c>
      <c r="D593" t="s">
        <v>835</v>
      </c>
      <c r="E593" t="s">
        <v>417</v>
      </c>
      <c r="F593">
        <v>284000</v>
      </c>
      <c r="G593">
        <v>284000</v>
      </c>
      <c r="H593">
        <v>1</v>
      </c>
      <c r="I593">
        <f t="shared" si="136"/>
        <v>0</v>
      </c>
      <c r="J593">
        <v>0.4</v>
      </c>
      <c r="K593">
        <f t="shared" si="137"/>
        <v>113600</v>
      </c>
      <c r="L593" t="s">
        <v>37</v>
      </c>
      <c r="N593">
        <f t="shared" si="135"/>
        <v>33789.184000000001</v>
      </c>
      <c r="O593">
        <f t="shared" si="138"/>
        <v>8.446584987343024E-2</v>
      </c>
      <c r="P593" t="s">
        <v>39</v>
      </c>
      <c r="Q593">
        <f t="shared" si="139"/>
        <v>0.57756690140845068</v>
      </c>
      <c r="R593">
        <f t="shared" si="140"/>
        <v>164029</v>
      </c>
      <c r="S593">
        <f t="shared" si="141"/>
        <v>164029</v>
      </c>
      <c r="T593">
        <v>164029</v>
      </c>
      <c r="U593">
        <f t="shared" si="142"/>
        <v>0</v>
      </c>
      <c r="V593">
        <v>1</v>
      </c>
      <c r="W593">
        <v>0.22500000000000001</v>
      </c>
      <c r="X593">
        <f t="shared" si="143"/>
        <v>36906.525000000001</v>
      </c>
      <c r="Y593">
        <f t="shared" si="144"/>
        <v>36906.525000000001</v>
      </c>
      <c r="Z593">
        <f t="shared" si="145"/>
        <v>0</v>
      </c>
      <c r="AB593" t="s">
        <v>40</v>
      </c>
    </row>
    <row r="594" spans="1:28" x14ac:dyDescent="0.25">
      <c r="A594" t="s">
        <v>725</v>
      </c>
      <c r="B594" t="s">
        <v>836</v>
      </c>
      <c r="D594" t="s">
        <v>837</v>
      </c>
      <c r="E594" t="s">
        <v>417</v>
      </c>
      <c r="F594">
        <v>312762</v>
      </c>
      <c r="G594">
        <v>312762</v>
      </c>
      <c r="H594">
        <v>1</v>
      </c>
      <c r="I594">
        <f t="shared" si="136"/>
        <v>0</v>
      </c>
      <c r="J594">
        <v>0.4</v>
      </c>
      <c r="K594">
        <f t="shared" si="137"/>
        <v>125104.8</v>
      </c>
      <c r="L594" t="s">
        <v>37</v>
      </c>
      <c r="N594">
        <f t="shared" si="135"/>
        <v>37211.171712000003</v>
      </c>
      <c r="O594">
        <f t="shared" si="138"/>
        <v>8.4247968489868666E-2</v>
      </c>
      <c r="P594" t="s">
        <v>39</v>
      </c>
      <c r="Q594">
        <f t="shared" si="139"/>
        <v>0.57742948312135101</v>
      </c>
      <c r="R594">
        <f t="shared" si="140"/>
        <v>180597.99999999997</v>
      </c>
      <c r="S594">
        <f t="shared" si="141"/>
        <v>180597.99999999997</v>
      </c>
      <c r="T594">
        <v>180598</v>
      </c>
      <c r="U594">
        <f t="shared" si="142"/>
        <v>1.6115256235802007E-16</v>
      </c>
      <c r="V594">
        <v>1</v>
      </c>
      <c r="W594">
        <v>0.22500000000000001</v>
      </c>
      <c r="X594">
        <f t="shared" si="143"/>
        <v>40634.549999999996</v>
      </c>
      <c r="Y594">
        <f t="shared" si="144"/>
        <v>40634.549999999996</v>
      </c>
      <c r="Z594">
        <f t="shared" si="145"/>
        <v>0</v>
      </c>
      <c r="AB594" t="s">
        <v>40</v>
      </c>
    </row>
    <row r="595" spans="1:28" x14ac:dyDescent="0.25">
      <c r="A595" t="s">
        <v>725</v>
      </c>
      <c r="B595" t="s">
        <v>403</v>
      </c>
      <c r="D595" t="s">
        <v>838</v>
      </c>
      <c r="E595" t="s">
        <v>417</v>
      </c>
      <c r="F595">
        <v>284000</v>
      </c>
      <c r="G595">
        <v>284000</v>
      </c>
      <c r="H595">
        <v>1</v>
      </c>
      <c r="I595">
        <f t="shared" si="136"/>
        <v>0</v>
      </c>
      <c r="J595">
        <v>0.4</v>
      </c>
      <c r="K595">
        <f t="shared" si="137"/>
        <v>113600</v>
      </c>
      <c r="L595" t="s">
        <v>37</v>
      </c>
      <c r="N595">
        <f t="shared" si="135"/>
        <v>33789.184000000001</v>
      </c>
      <c r="O595">
        <f t="shared" si="138"/>
        <v>8.446584987343024E-2</v>
      </c>
      <c r="P595" t="s">
        <v>39</v>
      </c>
      <c r="Q595">
        <f t="shared" si="139"/>
        <v>0.57756690140845068</v>
      </c>
      <c r="R595">
        <f t="shared" si="140"/>
        <v>164029</v>
      </c>
      <c r="S595">
        <f t="shared" si="141"/>
        <v>164029</v>
      </c>
      <c r="T595">
        <v>164029</v>
      </c>
      <c r="U595">
        <f t="shared" si="142"/>
        <v>0</v>
      </c>
      <c r="V595">
        <v>1</v>
      </c>
      <c r="W595">
        <v>0.22500000000000001</v>
      </c>
      <c r="X595">
        <f t="shared" si="143"/>
        <v>36906.525000000001</v>
      </c>
      <c r="Y595">
        <f t="shared" si="144"/>
        <v>36906.525000000001</v>
      </c>
      <c r="Z595">
        <f t="shared" si="145"/>
        <v>0</v>
      </c>
      <c r="AB595" t="s">
        <v>40</v>
      </c>
    </row>
    <row r="596" spans="1:28" x14ac:dyDescent="0.25">
      <c r="A596" t="s">
        <v>839</v>
      </c>
      <c r="B596" t="s">
        <v>746</v>
      </c>
      <c r="D596" t="s">
        <v>840</v>
      </c>
      <c r="E596" t="s">
        <v>417</v>
      </c>
      <c r="F596">
        <v>703</v>
      </c>
      <c r="G596">
        <v>703</v>
      </c>
      <c r="H596">
        <v>1</v>
      </c>
      <c r="I596">
        <f t="shared" si="136"/>
        <v>0</v>
      </c>
      <c r="J596">
        <v>0.51</v>
      </c>
      <c r="K596">
        <f t="shared" si="137"/>
        <v>358.53000000000003</v>
      </c>
      <c r="L596" t="s">
        <v>37</v>
      </c>
      <c r="N596">
        <f t="shared" si="135"/>
        <v>106.64116320000002</v>
      </c>
      <c r="O596">
        <f t="shared" si="138"/>
        <v>7.9687911974109835E-2</v>
      </c>
      <c r="P596" t="s">
        <v>39</v>
      </c>
      <c r="Q596">
        <f t="shared" si="139"/>
        <v>0.73257467994310099</v>
      </c>
      <c r="R596">
        <f t="shared" si="140"/>
        <v>515</v>
      </c>
      <c r="S596">
        <f t="shared" si="141"/>
        <v>515</v>
      </c>
      <c r="T596">
        <v>515</v>
      </c>
      <c r="U596">
        <f t="shared" si="142"/>
        <v>0</v>
      </c>
      <c r="V596">
        <v>1</v>
      </c>
      <c r="W596">
        <v>0.22500000000000001</v>
      </c>
      <c r="X596">
        <f t="shared" si="143"/>
        <v>115.875</v>
      </c>
      <c r="Y596">
        <f t="shared" si="144"/>
        <v>115.875</v>
      </c>
      <c r="Z596">
        <f t="shared" si="145"/>
        <v>0</v>
      </c>
      <c r="AB596" t="s">
        <v>40</v>
      </c>
    </row>
    <row r="597" spans="1:28" x14ac:dyDescent="0.25">
      <c r="A597" t="s">
        <v>839</v>
      </c>
      <c r="B597" t="s">
        <v>747</v>
      </c>
      <c r="D597" t="s">
        <v>841</v>
      </c>
      <c r="E597" t="s">
        <v>417</v>
      </c>
      <c r="F597">
        <v>891</v>
      </c>
      <c r="G597">
        <v>891</v>
      </c>
      <c r="H597">
        <v>1</v>
      </c>
      <c r="I597">
        <f t="shared" si="136"/>
        <v>0</v>
      </c>
      <c r="J597">
        <v>0.51</v>
      </c>
      <c r="K597">
        <f t="shared" si="137"/>
        <v>454.41</v>
      </c>
      <c r="L597" t="s">
        <v>37</v>
      </c>
      <c r="N597">
        <f t="shared" si="135"/>
        <v>135.15971040000002</v>
      </c>
      <c r="O597">
        <f t="shared" si="138"/>
        <v>8.0076839203675254E-2</v>
      </c>
      <c r="P597" t="s">
        <v>39</v>
      </c>
      <c r="Q597">
        <f t="shared" si="139"/>
        <v>0.73288439955106621</v>
      </c>
      <c r="R597">
        <f t="shared" si="140"/>
        <v>653</v>
      </c>
      <c r="S597">
        <f t="shared" si="141"/>
        <v>653</v>
      </c>
      <c r="T597">
        <v>653</v>
      </c>
      <c r="U597">
        <f t="shared" si="142"/>
        <v>0</v>
      </c>
      <c r="V597">
        <v>1</v>
      </c>
      <c r="W597">
        <v>0.22500000000000001</v>
      </c>
      <c r="X597">
        <f t="shared" si="143"/>
        <v>146.92500000000001</v>
      </c>
      <c r="Y597">
        <f t="shared" si="144"/>
        <v>146.92500000000001</v>
      </c>
      <c r="Z597">
        <f t="shared" si="145"/>
        <v>0</v>
      </c>
      <c r="AB597" t="s">
        <v>40</v>
      </c>
    </row>
    <row r="598" spans="1:28" x14ac:dyDescent="0.25">
      <c r="A598" t="s">
        <v>839</v>
      </c>
      <c r="B598" t="s">
        <v>748</v>
      </c>
      <c r="D598" t="s">
        <v>842</v>
      </c>
      <c r="E598" t="s">
        <v>417</v>
      </c>
      <c r="F598">
        <v>1328</v>
      </c>
      <c r="G598">
        <v>1328</v>
      </c>
      <c r="H598">
        <v>1</v>
      </c>
      <c r="I598">
        <f t="shared" si="136"/>
        <v>0</v>
      </c>
      <c r="J598">
        <v>0.51</v>
      </c>
      <c r="K598">
        <f t="shared" si="137"/>
        <v>677.28</v>
      </c>
      <c r="L598" t="s">
        <v>37</v>
      </c>
      <c r="N598">
        <f t="shared" si="135"/>
        <v>201.45016320000002</v>
      </c>
      <c r="O598">
        <f t="shared" si="138"/>
        <v>8.3588476287956306E-2</v>
      </c>
      <c r="P598" t="s">
        <v>39</v>
      </c>
      <c r="Q598">
        <f t="shared" si="139"/>
        <v>0.73569277108433739</v>
      </c>
      <c r="R598">
        <f t="shared" si="140"/>
        <v>977.00000000000011</v>
      </c>
      <c r="S598">
        <f t="shared" si="141"/>
        <v>977.00000000000011</v>
      </c>
      <c r="T598">
        <v>977</v>
      </c>
      <c r="U598">
        <f t="shared" si="142"/>
        <v>-1.1636319111731424E-16</v>
      </c>
      <c r="V598">
        <v>1</v>
      </c>
      <c r="W598">
        <v>0.22500000000000001</v>
      </c>
      <c r="X598">
        <f t="shared" si="143"/>
        <v>219.82500000000002</v>
      </c>
      <c r="Y598">
        <f t="shared" si="144"/>
        <v>219.82500000000002</v>
      </c>
      <c r="Z598">
        <f t="shared" si="145"/>
        <v>0</v>
      </c>
      <c r="AB598" t="s">
        <v>40</v>
      </c>
    </row>
    <row r="599" spans="1:28" x14ac:dyDescent="0.25">
      <c r="A599" t="s">
        <v>839</v>
      </c>
      <c r="B599" t="s">
        <v>749</v>
      </c>
      <c r="D599" t="s">
        <v>843</v>
      </c>
      <c r="E599" t="s">
        <v>417</v>
      </c>
      <c r="F599">
        <v>1047</v>
      </c>
      <c r="G599">
        <v>1047</v>
      </c>
      <c r="H599">
        <v>1</v>
      </c>
      <c r="I599">
        <f t="shared" si="136"/>
        <v>0</v>
      </c>
      <c r="J599">
        <v>0.51</v>
      </c>
      <c r="K599">
        <f t="shared" si="137"/>
        <v>533.97</v>
      </c>
      <c r="L599" t="s">
        <v>37</v>
      </c>
      <c r="N599">
        <f t="shared" si="135"/>
        <v>158.82403680000002</v>
      </c>
      <c r="O599">
        <f t="shared" si="138"/>
        <v>9.7334260869565217E-2</v>
      </c>
      <c r="P599" t="s">
        <v>39</v>
      </c>
      <c r="Q599">
        <f t="shared" si="139"/>
        <v>0.74689589302769821</v>
      </c>
      <c r="R599">
        <f t="shared" si="140"/>
        <v>782</v>
      </c>
      <c r="S599">
        <f t="shared" si="141"/>
        <v>782</v>
      </c>
      <c r="T599">
        <v>782</v>
      </c>
      <c r="U599">
        <f t="shared" si="142"/>
        <v>0</v>
      </c>
      <c r="V599">
        <v>1</v>
      </c>
      <c r="W599">
        <v>0.22500000000000001</v>
      </c>
      <c r="X599">
        <f t="shared" si="143"/>
        <v>175.95000000000002</v>
      </c>
      <c r="Y599">
        <f t="shared" si="144"/>
        <v>175.95000000000002</v>
      </c>
      <c r="Z599">
        <f t="shared" si="145"/>
        <v>0</v>
      </c>
      <c r="AB599" t="s">
        <v>40</v>
      </c>
    </row>
    <row r="600" spans="1:28" x14ac:dyDescent="0.25">
      <c r="A600" t="s">
        <v>839</v>
      </c>
      <c r="B600" t="s">
        <v>750</v>
      </c>
      <c r="D600" t="s">
        <v>844</v>
      </c>
      <c r="E600" t="s">
        <v>417</v>
      </c>
      <c r="F600">
        <v>1391</v>
      </c>
      <c r="G600">
        <v>1391</v>
      </c>
      <c r="H600">
        <v>1</v>
      </c>
      <c r="I600">
        <f t="shared" si="136"/>
        <v>0</v>
      </c>
      <c r="J600">
        <v>0.51</v>
      </c>
      <c r="K600">
        <f t="shared" si="137"/>
        <v>709.41</v>
      </c>
      <c r="L600" t="s">
        <v>37</v>
      </c>
      <c r="N600">
        <f t="shared" si="135"/>
        <v>211.00691040000004</v>
      </c>
      <c r="O600">
        <f t="shared" si="138"/>
        <v>8.7734931258106233E-2</v>
      </c>
      <c r="P600" t="s">
        <v>39</v>
      </c>
      <c r="Q600">
        <f t="shared" si="139"/>
        <v>0.73903666427030912</v>
      </c>
      <c r="R600">
        <f t="shared" si="140"/>
        <v>1028</v>
      </c>
      <c r="S600">
        <f t="shared" si="141"/>
        <v>1028</v>
      </c>
      <c r="T600">
        <v>1028</v>
      </c>
      <c r="U600">
        <f t="shared" si="142"/>
        <v>0</v>
      </c>
      <c r="V600">
        <v>1</v>
      </c>
      <c r="W600">
        <v>0.22500000000000001</v>
      </c>
      <c r="X600">
        <f t="shared" si="143"/>
        <v>231.3</v>
      </c>
      <c r="Y600">
        <f t="shared" si="144"/>
        <v>231.3</v>
      </c>
      <c r="Z600">
        <f t="shared" si="145"/>
        <v>0</v>
      </c>
      <c r="AB600" t="s">
        <v>40</v>
      </c>
    </row>
    <row r="601" spans="1:28" x14ac:dyDescent="0.25">
      <c r="A601" t="s">
        <v>839</v>
      </c>
      <c r="B601" t="s">
        <v>751</v>
      </c>
      <c r="D601" t="s">
        <v>845</v>
      </c>
      <c r="E601" t="s">
        <v>417</v>
      </c>
      <c r="F601">
        <v>1609</v>
      </c>
      <c r="G601">
        <v>1609</v>
      </c>
      <c r="H601">
        <v>1</v>
      </c>
      <c r="I601">
        <f t="shared" si="136"/>
        <v>0</v>
      </c>
      <c r="J601">
        <v>0.51</v>
      </c>
      <c r="K601">
        <f t="shared" si="137"/>
        <v>820.59</v>
      </c>
      <c r="L601" t="s">
        <v>37</v>
      </c>
      <c r="N601">
        <f t="shared" si="135"/>
        <v>244.07628960000002</v>
      </c>
      <c r="O601">
        <f t="shared" si="138"/>
        <v>8.9946720357941712E-2</v>
      </c>
      <c r="P601" t="s">
        <v>39</v>
      </c>
      <c r="Q601">
        <f t="shared" si="139"/>
        <v>0.74083281541330015</v>
      </c>
      <c r="R601">
        <f t="shared" si="140"/>
        <v>1192</v>
      </c>
      <c r="S601">
        <f t="shared" si="141"/>
        <v>1192</v>
      </c>
      <c r="T601">
        <v>1192</v>
      </c>
      <c r="U601">
        <f t="shared" si="142"/>
        <v>0</v>
      </c>
      <c r="V601">
        <v>1</v>
      </c>
      <c r="W601">
        <v>0.22500000000000001</v>
      </c>
      <c r="X601">
        <f t="shared" si="143"/>
        <v>268.2</v>
      </c>
      <c r="Y601">
        <f t="shared" si="144"/>
        <v>268.2</v>
      </c>
      <c r="Z601">
        <f t="shared" si="145"/>
        <v>0</v>
      </c>
      <c r="AB601" t="s">
        <v>40</v>
      </c>
    </row>
    <row r="602" spans="1:28" x14ac:dyDescent="0.25">
      <c r="A602" t="s">
        <v>839</v>
      </c>
      <c r="B602" t="s">
        <v>752</v>
      </c>
      <c r="D602" t="s">
        <v>846</v>
      </c>
      <c r="E602" t="s">
        <v>417</v>
      </c>
      <c r="F602">
        <v>1422</v>
      </c>
      <c r="G602">
        <v>1422</v>
      </c>
      <c r="H602">
        <v>1</v>
      </c>
      <c r="I602">
        <f t="shared" si="136"/>
        <v>0</v>
      </c>
      <c r="J602">
        <v>0.51</v>
      </c>
      <c r="K602">
        <f t="shared" si="137"/>
        <v>725.22</v>
      </c>
      <c r="L602" t="s">
        <v>37</v>
      </c>
      <c r="N602">
        <f t="shared" si="135"/>
        <v>215.70943680000005</v>
      </c>
      <c r="O602">
        <f t="shared" si="138"/>
        <v>0.10317249017773603</v>
      </c>
      <c r="P602" t="s">
        <v>39</v>
      </c>
      <c r="Q602">
        <f t="shared" si="139"/>
        <v>0.75175808720112514</v>
      </c>
      <c r="R602">
        <f t="shared" si="140"/>
        <v>1069</v>
      </c>
      <c r="S602">
        <f t="shared" si="141"/>
        <v>1069</v>
      </c>
      <c r="T602">
        <v>1069</v>
      </c>
      <c r="U602">
        <f t="shared" si="142"/>
        <v>0</v>
      </c>
      <c r="V602">
        <v>1</v>
      </c>
      <c r="W602">
        <v>0.22500000000000001</v>
      </c>
      <c r="X602">
        <f t="shared" si="143"/>
        <v>240.52500000000001</v>
      </c>
      <c r="Y602">
        <f t="shared" si="144"/>
        <v>240.52500000000001</v>
      </c>
      <c r="Z602">
        <f t="shared" si="145"/>
        <v>0</v>
      </c>
      <c r="AB602" t="s">
        <v>40</v>
      </c>
    </row>
    <row r="603" spans="1:28" x14ac:dyDescent="0.25">
      <c r="A603" t="s">
        <v>839</v>
      </c>
      <c r="B603" t="s">
        <v>753</v>
      </c>
      <c r="D603" t="s">
        <v>847</v>
      </c>
      <c r="E603" t="s">
        <v>417</v>
      </c>
      <c r="F603">
        <v>1891</v>
      </c>
      <c r="G603">
        <v>1891</v>
      </c>
      <c r="H603">
        <v>1</v>
      </c>
      <c r="I603">
        <f t="shared" si="136"/>
        <v>0</v>
      </c>
      <c r="J603">
        <v>0.51</v>
      </c>
      <c r="K603">
        <f t="shared" si="137"/>
        <v>964.41</v>
      </c>
      <c r="L603" t="s">
        <v>37</v>
      </c>
      <c r="N603">
        <f t="shared" si="135"/>
        <v>286.85411040000002</v>
      </c>
      <c r="O603">
        <f t="shared" si="138"/>
        <v>8.1478993275696396E-2</v>
      </c>
      <c r="P603" t="s">
        <v>39</v>
      </c>
      <c r="Q603">
        <f t="shared" si="139"/>
        <v>0.73400317292437867</v>
      </c>
      <c r="R603">
        <f t="shared" si="140"/>
        <v>1388</v>
      </c>
      <c r="S603">
        <f t="shared" si="141"/>
        <v>1388</v>
      </c>
      <c r="T603">
        <v>1388</v>
      </c>
      <c r="U603">
        <f t="shared" si="142"/>
        <v>0</v>
      </c>
      <c r="V603">
        <v>1</v>
      </c>
      <c r="W603">
        <v>0.22500000000000001</v>
      </c>
      <c r="X603">
        <f t="shared" si="143"/>
        <v>312.3</v>
      </c>
      <c r="Y603">
        <f t="shared" si="144"/>
        <v>312.3</v>
      </c>
      <c r="Z603">
        <f t="shared" si="145"/>
        <v>0</v>
      </c>
      <c r="AB603" t="s">
        <v>40</v>
      </c>
    </row>
    <row r="604" spans="1:28" x14ac:dyDescent="0.25">
      <c r="A604" t="s">
        <v>839</v>
      </c>
      <c r="B604" t="s">
        <v>848</v>
      </c>
      <c r="D604" t="s">
        <v>849</v>
      </c>
      <c r="E604" t="s">
        <v>417</v>
      </c>
      <c r="F604">
        <v>2172</v>
      </c>
      <c r="G604">
        <v>2172</v>
      </c>
      <c r="H604">
        <v>1</v>
      </c>
      <c r="I604">
        <f t="shared" si="136"/>
        <v>0</v>
      </c>
      <c r="J604">
        <v>0.51</v>
      </c>
      <c r="K604">
        <f t="shared" si="137"/>
        <v>1107.72</v>
      </c>
      <c r="L604" t="s">
        <v>37</v>
      </c>
      <c r="N604">
        <f t="shared" si="135"/>
        <v>329.48023680000006</v>
      </c>
      <c r="O604">
        <f t="shared" si="138"/>
        <v>8.1332115432873206E-2</v>
      </c>
      <c r="P604" t="s">
        <v>39</v>
      </c>
      <c r="Q604">
        <f t="shared" si="139"/>
        <v>0.7338858195211786</v>
      </c>
      <c r="R604">
        <f t="shared" si="140"/>
        <v>1594</v>
      </c>
      <c r="S604">
        <f t="shared" si="141"/>
        <v>1594</v>
      </c>
      <c r="T604">
        <v>1594</v>
      </c>
      <c r="U604">
        <f t="shared" si="142"/>
        <v>0</v>
      </c>
      <c r="V604">
        <v>1</v>
      </c>
      <c r="W604">
        <v>0.22500000000000001</v>
      </c>
      <c r="X604">
        <f t="shared" si="143"/>
        <v>358.65000000000003</v>
      </c>
      <c r="Y604">
        <f t="shared" si="144"/>
        <v>358.65000000000003</v>
      </c>
      <c r="Z604">
        <f t="shared" si="145"/>
        <v>0</v>
      </c>
      <c r="AB604" t="s">
        <v>40</v>
      </c>
    </row>
    <row r="605" spans="1:28" x14ac:dyDescent="0.25">
      <c r="A605" t="s">
        <v>839</v>
      </c>
      <c r="B605" t="s">
        <v>850</v>
      </c>
      <c r="D605" t="s">
        <v>851</v>
      </c>
      <c r="E605" t="s">
        <v>417</v>
      </c>
      <c r="F605">
        <v>1750</v>
      </c>
      <c r="G605">
        <v>1750</v>
      </c>
      <c r="H605">
        <v>1</v>
      </c>
      <c r="I605">
        <f t="shared" si="136"/>
        <v>0</v>
      </c>
      <c r="J605">
        <v>0.51</v>
      </c>
      <c r="K605">
        <f t="shared" si="137"/>
        <v>892.5</v>
      </c>
      <c r="L605" t="s">
        <v>37</v>
      </c>
      <c r="N605">
        <f t="shared" si="135"/>
        <v>265.46520000000004</v>
      </c>
      <c r="O605">
        <f t="shared" si="138"/>
        <v>9.5903959131545202E-2</v>
      </c>
      <c r="P605" t="s">
        <v>39</v>
      </c>
      <c r="Q605">
        <f t="shared" si="139"/>
        <v>0.74571428571428566</v>
      </c>
      <c r="R605">
        <f t="shared" si="140"/>
        <v>1305</v>
      </c>
      <c r="S605">
        <f t="shared" si="141"/>
        <v>1305</v>
      </c>
      <c r="T605">
        <v>1305</v>
      </c>
      <c r="U605">
        <f t="shared" si="142"/>
        <v>0</v>
      </c>
      <c r="V605">
        <v>1</v>
      </c>
      <c r="W605">
        <v>0.22500000000000001</v>
      </c>
      <c r="X605">
        <f t="shared" si="143"/>
        <v>293.625</v>
      </c>
      <c r="Y605">
        <f t="shared" si="144"/>
        <v>293.625</v>
      </c>
      <c r="Z605">
        <f t="shared" si="145"/>
        <v>0</v>
      </c>
      <c r="AB605" t="s">
        <v>40</v>
      </c>
    </row>
    <row r="606" spans="1:28" x14ac:dyDescent="0.25">
      <c r="A606" t="s">
        <v>839</v>
      </c>
      <c r="B606" t="s">
        <v>754</v>
      </c>
      <c r="D606" t="s">
        <v>852</v>
      </c>
      <c r="E606" t="s">
        <v>417</v>
      </c>
      <c r="F606">
        <v>2297</v>
      </c>
      <c r="G606">
        <v>2297</v>
      </c>
      <c r="H606">
        <v>1</v>
      </c>
      <c r="I606">
        <f t="shared" si="136"/>
        <v>0</v>
      </c>
      <c r="J606">
        <v>0.51</v>
      </c>
      <c r="K606">
        <f t="shared" si="137"/>
        <v>1171.47</v>
      </c>
      <c r="L606" t="s">
        <v>37</v>
      </c>
      <c r="N606">
        <f t="shared" si="135"/>
        <v>348.44203680000004</v>
      </c>
      <c r="O606">
        <f t="shared" si="138"/>
        <v>9.2776054676820943E-2</v>
      </c>
      <c r="P606" t="s">
        <v>39</v>
      </c>
      <c r="Q606">
        <f t="shared" si="139"/>
        <v>0.74314323030039187</v>
      </c>
      <c r="R606">
        <f t="shared" si="140"/>
        <v>1707.0000000000002</v>
      </c>
      <c r="S606">
        <f t="shared" si="141"/>
        <v>1707.0000000000002</v>
      </c>
      <c r="T606">
        <v>1707</v>
      </c>
      <c r="U606">
        <f t="shared" si="142"/>
        <v>-1.3320074718408437E-16</v>
      </c>
      <c r="V606">
        <v>1</v>
      </c>
      <c r="W606">
        <v>0.22500000000000001</v>
      </c>
      <c r="X606">
        <f t="shared" si="143"/>
        <v>384.07500000000005</v>
      </c>
      <c r="Y606">
        <f t="shared" si="144"/>
        <v>384.07500000000005</v>
      </c>
      <c r="Z606">
        <f t="shared" si="145"/>
        <v>0</v>
      </c>
      <c r="AB606" t="s">
        <v>40</v>
      </c>
    </row>
    <row r="607" spans="1:28" x14ac:dyDescent="0.25">
      <c r="A607" t="s">
        <v>839</v>
      </c>
      <c r="B607" t="s">
        <v>755</v>
      </c>
      <c r="D607" t="s">
        <v>853</v>
      </c>
      <c r="E607" t="s">
        <v>417</v>
      </c>
      <c r="F607">
        <v>2641</v>
      </c>
      <c r="G607">
        <v>2641</v>
      </c>
      <c r="H607">
        <v>1</v>
      </c>
      <c r="I607">
        <f t="shared" si="136"/>
        <v>0</v>
      </c>
      <c r="J607">
        <v>0.51</v>
      </c>
      <c r="K607">
        <f t="shared" si="137"/>
        <v>1346.91</v>
      </c>
      <c r="L607" t="s">
        <v>37</v>
      </c>
      <c r="N607">
        <f t="shared" si="135"/>
        <v>400.62491040000009</v>
      </c>
      <c r="O607">
        <f t="shared" si="138"/>
        <v>8.8297410479603849E-2</v>
      </c>
      <c r="P607" t="s">
        <v>39</v>
      </c>
      <c r="Q607">
        <f t="shared" si="139"/>
        <v>0.73949261643316921</v>
      </c>
      <c r="R607">
        <f t="shared" si="140"/>
        <v>1953</v>
      </c>
      <c r="S607">
        <f t="shared" si="141"/>
        <v>1953</v>
      </c>
      <c r="T607">
        <v>1953</v>
      </c>
      <c r="U607">
        <f t="shared" si="142"/>
        <v>0</v>
      </c>
      <c r="V607">
        <v>1</v>
      </c>
      <c r="W607">
        <v>0.22500000000000001</v>
      </c>
      <c r="X607">
        <f t="shared" si="143"/>
        <v>439.42500000000001</v>
      </c>
      <c r="Y607">
        <f t="shared" si="144"/>
        <v>439.42500000000001</v>
      </c>
      <c r="Z607">
        <f t="shared" si="145"/>
        <v>0</v>
      </c>
      <c r="AB607" t="s">
        <v>40</v>
      </c>
    </row>
    <row r="608" spans="1:28" x14ac:dyDescent="0.25">
      <c r="A608" t="s">
        <v>839</v>
      </c>
      <c r="B608" t="s">
        <v>756</v>
      </c>
      <c r="D608" t="s">
        <v>854</v>
      </c>
      <c r="E608" t="s">
        <v>417</v>
      </c>
      <c r="F608">
        <v>2391</v>
      </c>
      <c r="G608">
        <v>2391</v>
      </c>
      <c r="H608">
        <v>1</v>
      </c>
      <c r="I608">
        <f t="shared" si="136"/>
        <v>0</v>
      </c>
      <c r="J608">
        <v>0.51</v>
      </c>
      <c r="K608">
        <f t="shared" si="137"/>
        <v>1219.4100000000001</v>
      </c>
      <c r="L608" t="s">
        <v>37</v>
      </c>
      <c r="N608">
        <f t="shared" si="135"/>
        <v>362.70131040000007</v>
      </c>
      <c r="O608">
        <f t="shared" si="138"/>
        <v>9.3360053993250702E-2</v>
      </c>
      <c r="P608" t="s">
        <v>39</v>
      </c>
      <c r="Q608">
        <f t="shared" si="139"/>
        <v>0.74362191551652024</v>
      </c>
      <c r="R608">
        <f t="shared" si="140"/>
        <v>1778</v>
      </c>
      <c r="S608">
        <f t="shared" si="141"/>
        <v>1778</v>
      </c>
      <c r="T608">
        <v>1778</v>
      </c>
      <c r="U608">
        <f t="shared" si="142"/>
        <v>0</v>
      </c>
      <c r="V608">
        <v>1</v>
      </c>
      <c r="W608">
        <v>0.22500000000000001</v>
      </c>
      <c r="X608">
        <f t="shared" si="143"/>
        <v>400.05</v>
      </c>
      <c r="Y608">
        <f t="shared" si="144"/>
        <v>400.05</v>
      </c>
      <c r="Z608">
        <f t="shared" si="145"/>
        <v>0</v>
      </c>
      <c r="AB608" t="s">
        <v>40</v>
      </c>
    </row>
    <row r="609" spans="1:28" x14ac:dyDescent="0.25">
      <c r="A609" t="s">
        <v>839</v>
      </c>
      <c r="B609" t="s">
        <v>757</v>
      </c>
      <c r="D609" t="s">
        <v>855</v>
      </c>
      <c r="E609" t="s">
        <v>417</v>
      </c>
      <c r="F609">
        <v>2938</v>
      </c>
      <c r="G609">
        <v>2938</v>
      </c>
      <c r="H609">
        <v>1</v>
      </c>
      <c r="I609">
        <f t="shared" si="136"/>
        <v>0</v>
      </c>
      <c r="J609">
        <v>0.51</v>
      </c>
      <c r="K609">
        <f t="shared" si="137"/>
        <v>1498.38</v>
      </c>
      <c r="L609" t="s">
        <v>37</v>
      </c>
      <c r="N609">
        <f t="shared" si="135"/>
        <v>445.67814720000013</v>
      </c>
      <c r="O609">
        <f t="shared" si="138"/>
        <v>9.0962934679516411E-2</v>
      </c>
      <c r="P609" t="s">
        <v>39</v>
      </c>
      <c r="Q609">
        <f t="shared" si="139"/>
        <v>0.74166099387338325</v>
      </c>
      <c r="R609">
        <f t="shared" si="140"/>
        <v>2179</v>
      </c>
      <c r="S609">
        <f t="shared" si="141"/>
        <v>2179</v>
      </c>
      <c r="T609">
        <v>2179</v>
      </c>
      <c r="U609">
        <f t="shared" si="142"/>
        <v>0</v>
      </c>
      <c r="V609">
        <v>1</v>
      </c>
      <c r="W609">
        <v>0.22500000000000001</v>
      </c>
      <c r="X609">
        <f t="shared" si="143"/>
        <v>490.27500000000003</v>
      </c>
      <c r="Y609">
        <f t="shared" si="144"/>
        <v>490.27500000000003</v>
      </c>
      <c r="Z609">
        <f t="shared" si="145"/>
        <v>0</v>
      </c>
      <c r="AB609" t="s">
        <v>40</v>
      </c>
    </row>
    <row r="610" spans="1:28" x14ac:dyDescent="0.25">
      <c r="A610" t="s">
        <v>839</v>
      </c>
      <c r="B610" t="s">
        <v>758</v>
      </c>
      <c r="D610" t="s">
        <v>856</v>
      </c>
      <c r="E610" t="s">
        <v>417</v>
      </c>
      <c r="F610">
        <v>3281</v>
      </c>
      <c r="G610">
        <v>3281</v>
      </c>
      <c r="H610">
        <v>1</v>
      </c>
      <c r="I610">
        <f t="shared" si="136"/>
        <v>0</v>
      </c>
      <c r="J610">
        <v>0.51</v>
      </c>
      <c r="K610">
        <f t="shared" si="137"/>
        <v>1673.31</v>
      </c>
      <c r="L610" t="s">
        <v>37</v>
      </c>
      <c r="N610">
        <f t="shared" si="135"/>
        <v>497.70932640000001</v>
      </c>
      <c r="O610">
        <f t="shared" si="138"/>
        <v>8.7817958487972497E-2</v>
      </c>
      <c r="P610" t="s">
        <v>39</v>
      </c>
      <c r="Q610">
        <f t="shared" si="139"/>
        <v>0.73910393172813171</v>
      </c>
      <c r="R610">
        <f t="shared" si="140"/>
        <v>2425</v>
      </c>
      <c r="S610">
        <f t="shared" si="141"/>
        <v>2425</v>
      </c>
      <c r="T610">
        <v>2425</v>
      </c>
      <c r="U610">
        <f t="shared" si="142"/>
        <v>0</v>
      </c>
      <c r="V610">
        <v>1</v>
      </c>
      <c r="W610">
        <v>0.22500000000000001</v>
      </c>
      <c r="X610">
        <f t="shared" si="143"/>
        <v>545.625</v>
      </c>
      <c r="Y610">
        <f t="shared" si="144"/>
        <v>545.625</v>
      </c>
      <c r="Z610">
        <f t="shared" si="145"/>
        <v>0</v>
      </c>
      <c r="AB610" t="s">
        <v>40</v>
      </c>
    </row>
    <row r="611" spans="1:28" x14ac:dyDescent="0.25">
      <c r="A611" t="s">
        <v>839</v>
      </c>
      <c r="B611" t="s">
        <v>759</v>
      </c>
      <c r="D611" t="s">
        <v>857</v>
      </c>
      <c r="E611" t="s">
        <v>417</v>
      </c>
      <c r="F611">
        <v>3781</v>
      </c>
      <c r="G611">
        <v>3781</v>
      </c>
      <c r="H611">
        <v>1</v>
      </c>
      <c r="I611">
        <f t="shared" si="136"/>
        <v>0</v>
      </c>
      <c r="J611">
        <v>0.51</v>
      </c>
      <c r="K611">
        <f t="shared" si="137"/>
        <v>1928.31</v>
      </c>
      <c r="L611" t="s">
        <v>37</v>
      </c>
      <c r="N611">
        <f t="shared" si="135"/>
        <v>573.55652640000005</v>
      </c>
      <c r="O611">
        <f t="shared" si="138"/>
        <v>8.796417984496116E-2</v>
      </c>
      <c r="P611" t="s">
        <v>39</v>
      </c>
      <c r="Q611">
        <f t="shared" si="139"/>
        <v>0.7392224279291193</v>
      </c>
      <c r="R611">
        <f t="shared" si="140"/>
        <v>2795</v>
      </c>
      <c r="S611">
        <f t="shared" si="141"/>
        <v>2795</v>
      </c>
      <c r="T611">
        <v>2795</v>
      </c>
      <c r="U611">
        <f t="shared" si="142"/>
        <v>0</v>
      </c>
      <c r="V611">
        <v>1</v>
      </c>
      <c r="W611">
        <v>0.22500000000000001</v>
      </c>
      <c r="X611">
        <f t="shared" si="143"/>
        <v>628.875</v>
      </c>
      <c r="Y611">
        <f t="shared" si="144"/>
        <v>628.875</v>
      </c>
      <c r="Z611">
        <f t="shared" si="145"/>
        <v>0</v>
      </c>
      <c r="AB611" t="s">
        <v>40</v>
      </c>
    </row>
    <row r="612" spans="1:28" x14ac:dyDescent="0.25">
      <c r="A612" t="s">
        <v>839</v>
      </c>
      <c r="B612" t="s">
        <v>760</v>
      </c>
      <c r="D612" t="s">
        <v>858</v>
      </c>
      <c r="E612" t="s">
        <v>417</v>
      </c>
      <c r="F612">
        <v>4906</v>
      </c>
      <c r="G612">
        <v>4906</v>
      </c>
      <c r="H612">
        <v>1</v>
      </c>
      <c r="I612">
        <f t="shared" si="136"/>
        <v>0</v>
      </c>
      <c r="J612">
        <v>0.51</v>
      </c>
      <c r="K612">
        <f t="shared" si="137"/>
        <v>2502.06</v>
      </c>
      <c r="L612" t="s">
        <v>37</v>
      </c>
      <c r="N612">
        <f t="shared" si="135"/>
        <v>744.21272640000018</v>
      </c>
      <c r="O612">
        <f t="shared" si="138"/>
        <v>9.0565818715058033E-2</v>
      </c>
      <c r="P612" t="s">
        <v>39</v>
      </c>
      <c r="Q612">
        <f t="shared" si="139"/>
        <v>0.74133713819812475</v>
      </c>
      <c r="R612">
        <f t="shared" si="140"/>
        <v>3637</v>
      </c>
      <c r="S612">
        <f t="shared" si="141"/>
        <v>3637</v>
      </c>
      <c r="T612">
        <v>3637</v>
      </c>
      <c r="U612">
        <f t="shared" si="142"/>
        <v>0</v>
      </c>
      <c r="V612">
        <v>1</v>
      </c>
      <c r="W612">
        <v>0.22500000000000001</v>
      </c>
      <c r="X612">
        <f t="shared" si="143"/>
        <v>818.32500000000005</v>
      </c>
      <c r="Y612">
        <f t="shared" si="144"/>
        <v>818.32500000000005</v>
      </c>
      <c r="Z612">
        <f t="shared" si="145"/>
        <v>0</v>
      </c>
      <c r="AB612" t="s">
        <v>40</v>
      </c>
    </row>
    <row r="613" spans="1:28" x14ac:dyDescent="0.25">
      <c r="A613" t="s">
        <v>839</v>
      </c>
      <c r="B613" t="s">
        <v>761</v>
      </c>
      <c r="D613" t="s">
        <v>859</v>
      </c>
      <c r="E613" t="s">
        <v>417</v>
      </c>
      <c r="F613">
        <v>5672</v>
      </c>
      <c r="G613">
        <v>5672</v>
      </c>
      <c r="H613">
        <v>1</v>
      </c>
      <c r="I613">
        <f t="shared" si="136"/>
        <v>0</v>
      </c>
      <c r="J613">
        <v>0.51</v>
      </c>
      <c r="K613">
        <f t="shared" si="137"/>
        <v>2892.7200000000003</v>
      </c>
      <c r="L613" t="s">
        <v>37</v>
      </c>
      <c r="N613">
        <f t="shared" si="135"/>
        <v>860.41063680000025</v>
      </c>
      <c r="O613">
        <f t="shared" si="138"/>
        <v>9.016243762391922E-2</v>
      </c>
      <c r="P613" t="s">
        <v>39</v>
      </c>
      <c r="Q613">
        <f t="shared" si="139"/>
        <v>0.74100846262341324</v>
      </c>
      <c r="R613">
        <f t="shared" si="140"/>
        <v>4203</v>
      </c>
      <c r="S613">
        <f t="shared" si="141"/>
        <v>4203</v>
      </c>
      <c r="T613">
        <v>4203</v>
      </c>
      <c r="U613">
        <f t="shared" si="142"/>
        <v>0</v>
      </c>
      <c r="V613">
        <v>1</v>
      </c>
      <c r="W613">
        <v>0.22500000000000001</v>
      </c>
      <c r="X613">
        <f t="shared" si="143"/>
        <v>945.67500000000007</v>
      </c>
      <c r="Y613">
        <f t="shared" si="144"/>
        <v>945.67500000000007</v>
      </c>
      <c r="Z613">
        <f t="shared" si="145"/>
        <v>0</v>
      </c>
      <c r="AB613" t="s">
        <v>40</v>
      </c>
    </row>
    <row r="614" spans="1:28" x14ac:dyDescent="0.25">
      <c r="A614" t="s">
        <v>839</v>
      </c>
      <c r="B614" t="s">
        <v>762</v>
      </c>
      <c r="D614" t="s">
        <v>860</v>
      </c>
      <c r="E614" t="s">
        <v>417</v>
      </c>
      <c r="F614">
        <v>4016</v>
      </c>
      <c r="G614">
        <v>4016</v>
      </c>
      <c r="H614">
        <v>1</v>
      </c>
      <c r="I614">
        <f t="shared" si="136"/>
        <v>0</v>
      </c>
      <c r="J614">
        <v>0.51</v>
      </c>
      <c r="K614">
        <f t="shared" si="137"/>
        <v>2048.16</v>
      </c>
      <c r="L614" t="s">
        <v>37</v>
      </c>
      <c r="N614">
        <f t="shared" si="135"/>
        <v>609.20471040000007</v>
      </c>
      <c r="O614">
        <f t="shared" si="138"/>
        <v>9.1722076260762536E-2</v>
      </c>
      <c r="P614" t="s">
        <v>39</v>
      </c>
      <c r="Q614">
        <f t="shared" si="139"/>
        <v>0.74228087649402386</v>
      </c>
      <c r="R614">
        <f t="shared" si="140"/>
        <v>2981</v>
      </c>
      <c r="S614">
        <f t="shared" si="141"/>
        <v>2981</v>
      </c>
      <c r="T614">
        <v>2981</v>
      </c>
      <c r="U614">
        <f t="shared" si="142"/>
        <v>0</v>
      </c>
      <c r="V614">
        <v>1</v>
      </c>
      <c r="W614">
        <v>0.22500000000000001</v>
      </c>
      <c r="X614">
        <f t="shared" si="143"/>
        <v>670.72500000000002</v>
      </c>
      <c r="Y614">
        <f t="shared" si="144"/>
        <v>670.72500000000002</v>
      </c>
      <c r="Z614">
        <f t="shared" si="145"/>
        <v>0</v>
      </c>
      <c r="AB614" t="s">
        <v>40</v>
      </c>
    </row>
    <row r="615" spans="1:28" x14ac:dyDescent="0.25">
      <c r="A615" t="s">
        <v>839</v>
      </c>
      <c r="B615" t="s">
        <v>763</v>
      </c>
      <c r="D615" t="s">
        <v>861</v>
      </c>
      <c r="E615" t="s">
        <v>417</v>
      </c>
      <c r="F615">
        <v>5172</v>
      </c>
      <c r="G615">
        <v>5172</v>
      </c>
      <c r="H615">
        <v>1</v>
      </c>
      <c r="I615">
        <f t="shared" si="136"/>
        <v>0</v>
      </c>
      <c r="J615">
        <v>0.51</v>
      </c>
      <c r="K615">
        <f t="shared" si="137"/>
        <v>2637.7200000000003</v>
      </c>
      <c r="L615" t="s">
        <v>37</v>
      </c>
      <c r="N615">
        <f t="shared" si="135"/>
        <v>784.5634368000002</v>
      </c>
      <c r="O615">
        <f t="shared" si="138"/>
        <v>8.7663891156462392E-2</v>
      </c>
      <c r="P615" t="s">
        <v>39</v>
      </c>
      <c r="Q615">
        <f t="shared" si="139"/>
        <v>0.73897911832946639</v>
      </c>
      <c r="R615">
        <f t="shared" si="140"/>
        <v>3822</v>
      </c>
      <c r="S615">
        <f t="shared" si="141"/>
        <v>3822</v>
      </c>
      <c r="T615">
        <v>3822</v>
      </c>
      <c r="U615">
        <f t="shared" si="142"/>
        <v>0</v>
      </c>
      <c r="V615">
        <v>1</v>
      </c>
      <c r="W615">
        <v>0.22500000000000001</v>
      </c>
      <c r="X615">
        <f t="shared" si="143"/>
        <v>859.95</v>
      </c>
      <c r="Y615">
        <f t="shared" si="144"/>
        <v>859.95</v>
      </c>
      <c r="Z615">
        <f t="shared" si="145"/>
        <v>0</v>
      </c>
      <c r="AB615" t="s">
        <v>40</v>
      </c>
    </row>
    <row r="616" spans="1:28" x14ac:dyDescent="0.25">
      <c r="A616" t="s">
        <v>839</v>
      </c>
      <c r="B616" t="s">
        <v>764</v>
      </c>
      <c r="D616" t="s">
        <v>862</v>
      </c>
      <c r="E616" t="s">
        <v>417</v>
      </c>
      <c r="F616">
        <v>5922</v>
      </c>
      <c r="G616">
        <v>5922</v>
      </c>
      <c r="H616">
        <v>1</v>
      </c>
      <c r="I616">
        <f t="shared" si="136"/>
        <v>0</v>
      </c>
      <c r="J616">
        <v>0.51</v>
      </c>
      <c r="K616">
        <f t="shared" si="137"/>
        <v>3020.2200000000003</v>
      </c>
      <c r="L616" t="s">
        <v>37</v>
      </c>
      <c r="N616">
        <f t="shared" si="135"/>
        <v>898.33423680000021</v>
      </c>
      <c r="O616">
        <f t="shared" si="138"/>
        <v>8.9902756325507011E-2</v>
      </c>
      <c r="P616" t="s">
        <v>39</v>
      </c>
      <c r="Q616">
        <f t="shared" si="139"/>
        <v>0.74079702803107061</v>
      </c>
      <c r="R616">
        <f t="shared" si="140"/>
        <v>4387</v>
      </c>
      <c r="S616">
        <f t="shared" si="141"/>
        <v>4387</v>
      </c>
      <c r="T616">
        <v>4387</v>
      </c>
      <c r="U616">
        <f t="shared" si="142"/>
        <v>0</v>
      </c>
      <c r="V616">
        <v>1</v>
      </c>
      <c r="W616">
        <v>0.22500000000000001</v>
      </c>
      <c r="X616">
        <f t="shared" si="143"/>
        <v>987.07500000000005</v>
      </c>
      <c r="Y616">
        <f t="shared" si="144"/>
        <v>987.07500000000005</v>
      </c>
      <c r="Z616">
        <f t="shared" si="145"/>
        <v>0</v>
      </c>
      <c r="AB616" t="s">
        <v>40</v>
      </c>
    </row>
    <row r="617" spans="1:28" x14ac:dyDescent="0.25">
      <c r="A617" t="s">
        <v>839</v>
      </c>
      <c r="B617" t="s">
        <v>765</v>
      </c>
      <c r="D617" t="s">
        <v>863</v>
      </c>
      <c r="E617" t="s">
        <v>417</v>
      </c>
      <c r="F617">
        <v>7500</v>
      </c>
      <c r="G617">
        <v>7500</v>
      </c>
      <c r="H617">
        <v>1</v>
      </c>
      <c r="I617">
        <f t="shared" si="136"/>
        <v>0</v>
      </c>
      <c r="J617">
        <v>0.51</v>
      </c>
      <c r="K617">
        <f t="shared" si="137"/>
        <v>3825</v>
      </c>
      <c r="L617" t="s">
        <v>37</v>
      </c>
      <c r="N617">
        <f t="shared" ref="N617:N628" si="146">K617*$N$2*$O$2</f>
        <v>1137.7080000000001</v>
      </c>
      <c r="O617">
        <f t="shared" si="138"/>
        <v>8.892252252252246E-2</v>
      </c>
      <c r="P617" t="s">
        <v>39</v>
      </c>
      <c r="Q617">
        <f t="shared" si="139"/>
        <v>0.74</v>
      </c>
      <c r="R617">
        <f t="shared" si="140"/>
        <v>5550</v>
      </c>
      <c r="S617">
        <f t="shared" si="141"/>
        <v>5550</v>
      </c>
      <c r="T617">
        <v>5550</v>
      </c>
      <c r="U617">
        <f t="shared" si="142"/>
        <v>0</v>
      </c>
      <c r="V617">
        <v>1</v>
      </c>
      <c r="W617">
        <v>0.22500000000000001</v>
      </c>
      <c r="X617">
        <f t="shared" si="143"/>
        <v>1248.75</v>
      </c>
      <c r="Y617">
        <f t="shared" si="144"/>
        <v>1248.75</v>
      </c>
      <c r="Z617">
        <f t="shared" si="145"/>
        <v>0</v>
      </c>
      <c r="AB617" t="s">
        <v>40</v>
      </c>
    </row>
    <row r="618" spans="1:28" x14ac:dyDescent="0.25">
      <c r="A618" t="s">
        <v>839</v>
      </c>
      <c r="B618" t="s">
        <v>766</v>
      </c>
      <c r="D618" t="s">
        <v>864</v>
      </c>
      <c r="E618" t="s">
        <v>417</v>
      </c>
      <c r="F618">
        <v>9719</v>
      </c>
      <c r="G618">
        <v>9719</v>
      </c>
      <c r="H618">
        <v>1</v>
      </c>
      <c r="I618">
        <f t="shared" si="136"/>
        <v>0</v>
      </c>
      <c r="J618">
        <v>0.51</v>
      </c>
      <c r="K618">
        <f t="shared" si="137"/>
        <v>4956.6900000000005</v>
      </c>
      <c r="L618" t="s">
        <v>37</v>
      </c>
      <c r="N618">
        <f t="shared" si="146"/>
        <v>1474.3178736000004</v>
      </c>
      <c r="O618">
        <f t="shared" si="138"/>
        <v>8.9168212028542082E-2</v>
      </c>
      <c r="P618" t="s">
        <v>39</v>
      </c>
      <c r="Q618">
        <f t="shared" si="139"/>
        <v>0.74019960901327297</v>
      </c>
      <c r="R618">
        <f t="shared" si="140"/>
        <v>7194</v>
      </c>
      <c r="S618">
        <f t="shared" si="141"/>
        <v>7194</v>
      </c>
      <c r="T618">
        <v>7194</v>
      </c>
      <c r="U618">
        <f t="shared" si="142"/>
        <v>0</v>
      </c>
      <c r="V618">
        <v>1</v>
      </c>
      <c r="W618">
        <v>0.22500000000000001</v>
      </c>
      <c r="X618">
        <f t="shared" si="143"/>
        <v>1618.65</v>
      </c>
      <c r="Y618">
        <f t="shared" si="144"/>
        <v>1618.65</v>
      </c>
      <c r="Z618">
        <f t="shared" si="145"/>
        <v>0</v>
      </c>
      <c r="AB618" t="s">
        <v>40</v>
      </c>
    </row>
    <row r="619" spans="1:28" x14ac:dyDescent="0.25">
      <c r="A619" t="s">
        <v>839</v>
      </c>
      <c r="B619" t="s">
        <v>767</v>
      </c>
      <c r="D619" t="s">
        <v>865</v>
      </c>
      <c r="E619" t="s">
        <v>417</v>
      </c>
      <c r="F619">
        <v>11234</v>
      </c>
      <c r="G619">
        <v>11234</v>
      </c>
      <c r="H619">
        <v>1</v>
      </c>
      <c r="I619">
        <f t="shared" si="136"/>
        <v>0</v>
      </c>
      <c r="J619">
        <v>0.51</v>
      </c>
      <c r="K619">
        <f t="shared" si="137"/>
        <v>5729.34</v>
      </c>
      <c r="L619" t="s">
        <v>37</v>
      </c>
      <c r="N619">
        <f t="shared" si="146"/>
        <v>1704.1348896000002</v>
      </c>
      <c r="O619">
        <f t="shared" si="138"/>
        <v>9.0218277157157065E-2</v>
      </c>
      <c r="P619" t="s">
        <v>39</v>
      </c>
      <c r="Q619">
        <f t="shared" si="139"/>
        <v>0.74105394338614916</v>
      </c>
      <c r="R619">
        <f t="shared" si="140"/>
        <v>8325</v>
      </c>
      <c r="S619">
        <f t="shared" si="141"/>
        <v>8325</v>
      </c>
      <c r="T619">
        <v>8325</v>
      </c>
      <c r="U619">
        <f t="shared" si="142"/>
        <v>0</v>
      </c>
      <c r="V619">
        <v>1</v>
      </c>
      <c r="W619">
        <v>0.22500000000000001</v>
      </c>
      <c r="X619">
        <f t="shared" si="143"/>
        <v>1873.125</v>
      </c>
      <c r="Y619">
        <f t="shared" si="144"/>
        <v>1873.125</v>
      </c>
      <c r="Z619">
        <f t="shared" si="145"/>
        <v>0</v>
      </c>
      <c r="AB619" t="s">
        <v>40</v>
      </c>
    </row>
    <row r="620" spans="1:28" x14ac:dyDescent="0.25">
      <c r="A620" t="s">
        <v>839</v>
      </c>
      <c r="B620" t="s">
        <v>768</v>
      </c>
      <c r="D620" t="s">
        <v>866</v>
      </c>
      <c r="E620" t="s">
        <v>417</v>
      </c>
      <c r="F620">
        <v>9172</v>
      </c>
      <c r="G620">
        <v>9172</v>
      </c>
      <c r="H620">
        <v>1</v>
      </c>
      <c r="I620">
        <f t="shared" si="136"/>
        <v>0</v>
      </c>
      <c r="J620">
        <v>0.51</v>
      </c>
      <c r="K620">
        <f t="shared" si="137"/>
        <v>4677.72</v>
      </c>
      <c r="L620" t="s">
        <v>37</v>
      </c>
      <c r="N620">
        <f t="shared" si="146"/>
        <v>1391.3410368000002</v>
      </c>
      <c r="O620">
        <f t="shared" si="138"/>
        <v>8.8347642439431884E-2</v>
      </c>
      <c r="P620" t="s">
        <v>39</v>
      </c>
      <c r="Q620">
        <f t="shared" si="139"/>
        <v>0.7395333624073267</v>
      </c>
      <c r="R620">
        <f t="shared" si="140"/>
        <v>6783.0000000000009</v>
      </c>
      <c r="S620">
        <f t="shared" si="141"/>
        <v>6783.0000000000009</v>
      </c>
      <c r="T620">
        <v>6783</v>
      </c>
      <c r="U620">
        <f t="shared" si="142"/>
        <v>-1.3408443192878197E-16</v>
      </c>
      <c r="V620">
        <v>1</v>
      </c>
      <c r="W620">
        <v>0.22500000000000001</v>
      </c>
      <c r="X620">
        <f t="shared" si="143"/>
        <v>1526.1750000000002</v>
      </c>
      <c r="Y620">
        <f t="shared" si="144"/>
        <v>1526.1750000000002</v>
      </c>
      <c r="Z620">
        <f t="shared" si="145"/>
        <v>0</v>
      </c>
      <c r="AB620" t="s">
        <v>40</v>
      </c>
    </row>
    <row r="621" spans="1:28" x14ac:dyDescent="0.25">
      <c r="A621" t="s">
        <v>839</v>
      </c>
      <c r="B621" t="s">
        <v>769</v>
      </c>
      <c r="D621" t="s">
        <v>867</v>
      </c>
      <c r="E621" t="s">
        <v>417</v>
      </c>
      <c r="F621">
        <v>12328</v>
      </c>
      <c r="G621">
        <v>12328</v>
      </c>
      <c r="H621">
        <v>1</v>
      </c>
      <c r="I621">
        <f t="shared" si="136"/>
        <v>0</v>
      </c>
      <c r="J621">
        <v>0.51</v>
      </c>
      <c r="K621">
        <f t="shared" si="137"/>
        <v>6287.28</v>
      </c>
      <c r="L621" t="s">
        <v>37</v>
      </c>
      <c r="N621">
        <f t="shared" si="146"/>
        <v>1870.0885632000002</v>
      </c>
      <c r="O621">
        <f t="shared" si="138"/>
        <v>8.8150880380325383E-2</v>
      </c>
      <c r="P621" t="s">
        <v>39</v>
      </c>
      <c r="Q621">
        <f t="shared" si="139"/>
        <v>0.73937378325762493</v>
      </c>
      <c r="R621">
        <f t="shared" si="140"/>
        <v>9115</v>
      </c>
      <c r="S621">
        <f t="shared" si="141"/>
        <v>9115</v>
      </c>
      <c r="T621">
        <v>9115</v>
      </c>
      <c r="U621">
        <f t="shared" si="142"/>
        <v>0</v>
      </c>
      <c r="V621">
        <v>1</v>
      </c>
      <c r="W621">
        <v>0.22500000000000001</v>
      </c>
      <c r="X621">
        <f t="shared" si="143"/>
        <v>2050.875</v>
      </c>
      <c r="Y621">
        <f t="shared" si="144"/>
        <v>2050.875</v>
      </c>
      <c r="Z621">
        <f t="shared" si="145"/>
        <v>0</v>
      </c>
      <c r="AB621" t="s">
        <v>40</v>
      </c>
    </row>
    <row r="622" spans="1:28" x14ac:dyDescent="0.25">
      <c r="A622" t="s">
        <v>839</v>
      </c>
      <c r="B622" t="s">
        <v>770</v>
      </c>
      <c r="D622" t="s">
        <v>868</v>
      </c>
      <c r="E622" t="s">
        <v>417</v>
      </c>
      <c r="F622">
        <v>13844</v>
      </c>
      <c r="G622">
        <v>13844</v>
      </c>
      <c r="H622">
        <v>1</v>
      </c>
      <c r="I622">
        <f t="shared" si="136"/>
        <v>0</v>
      </c>
      <c r="J622">
        <v>0.51</v>
      </c>
      <c r="K622">
        <f t="shared" si="137"/>
        <v>7060.4400000000005</v>
      </c>
      <c r="L622" t="s">
        <v>37</v>
      </c>
      <c r="N622">
        <f t="shared" si="146"/>
        <v>2100.0572736000004</v>
      </c>
      <c r="O622">
        <f t="shared" si="138"/>
        <v>8.8961651277045556E-2</v>
      </c>
      <c r="P622" t="s">
        <v>39</v>
      </c>
      <c r="Q622">
        <f t="shared" si="139"/>
        <v>0.74003178272175674</v>
      </c>
      <c r="R622">
        <f t="shared" si="140"/>
        <v>10245</v>
      </c>
      <c r="S622">
        <f t="shared" si="141"/>
        <v>10245</v>
      </c>
      <c r="T622">
        <v>10245</v>
      </c>
      <c r="U622">
        <f t="shared" si="142"/>
        <v>0</v>
      </c>
      <c r="V622">
        <v>1</v>
      </c>
      <c r="W622">
        <v>0.22500000000000001</v>
      </c>
      <c r="X622">
        <f t="shared" si="143"/>
        <v>2305.125</v>
      </c>
      <c r="Y622">
        <f t="shared" si="144"/>
        <v>2305.125</v>
      </c>
      <c r="Z622">
        <f t="shared" si="145"/>
        <v>0</v>
      </c>
      <c r="AB622" t="s">
        <v>40</v>
      </c>
    </row>
    <row r="623" spans="1:28" x14ac:dyDescent="0.25">
      <c r="A623" t="s">
        <v>839</v>
      </c>
      <c r="B623" t="s">
        <v>771</v>
      </c>
      <c r="D623" t="s">
        <v>869</v>
      </c>
      <c r="E623" t="s">
        <v>417</v>
      </c>
      <c r="F623">
        <v>12047</v>
      </c>
      <c r="G623">
        <v>12047</v>
      </c>
      <c r="H623">
        <v>1</v>
      </c>
      <c r="I623">
        <f t="shared" si="136"/>
        <v>0</v>
      </c>
      <c r="J623">
        <v>0.51</v>
      </c>
      <c r="K623">
        <f t="shared" si="137"/>
        <v>6143.97</v>
      </c>
      <c r="L623" t="s">
        <v>37</v>
      </c>
      <c r="N623">
        <f t="shared" si="146"/>
        <v>1827.4624368000004</v>
      </c>
      <c r="O623">
        <f t="shared" si="138"/>
        <v>8.833143173569781E-2</v>
      </c>
      <c r="P623" t="s">
        <v>39</v>
      </c>
      <c r="Q623">
        <f t="shared" si="139"/>
        <v>0.73952021250103761</v>
      </c>
      <c r="R623">
        <f t="shared" si="140"/>
        <v>8909</v>
      </c>
      <c r="S623">
        <f t="shared" si="141"/>
        <v>8909</v>
      </c>
      <c r="T623">
        <v>8909</v>
      </c>
      <c r="U623">
        <f t="shared" si="142"/>
        <v>0</v>
      </c>
      <c r="V623">
        <v>1</v>
      </c>
      <c r="W623">
        <v>0.22500000000000001</v>
      </c>
      <c r="X623">
        <f t="shared" si="143"/>
        <v>2004.5250000000001</v>
      </c>
      <c r="Y623">
        <f t="shared" si="144"/>
        <v>2004.5250000000001</v>
      </c>
      <c r="Z623">
        <f t="shared" si="145"/>
        <v>0</v>
      </c>
      <c r="AB623" t="s">
        <v>40</v>
      </c>
    </row>
    <row r="624" spans="1:28" x14ac:dyDescent="0.25">
      <c r="A624" t="s">
        <v>839</v>
      </c>
      <c r="B624" t="s">
        <v>772</v>
      </c>
      <c r="D624" t="s">
        <v>870</v>
      </c>
      <c r="E624" t="s">
        <v>417</v>
      </c>
      <c r="F624">
        <v>16250</v>
      </c>
      <c r="G624">
        <v>16250</v>
      </c>
      <c r="H624">
        <v>1</v>
      </c>
      <c r="I624">
        <f t="shared" si="136"/>
        <v>0</v>
      </c>
      <c r="J624">
        <v>0.51</v>
      </c>
      <c r="K624">
        <f t="shared" si="137"/>
        <v>8287.5</v>
      </c>
      <c r="L624" t="s">
        <v>37</v>
      </c>
      <c r="N624">
        <f t="shared" si="146"/>
        <v>2465.0340000000006</v>
      </c>
      <c r="O624">
        <f t="shared" si="138"/>
        <v>8.4047599141654578E-2</v>
      </c>
      <c r="P624" t="s">
        <v>39</v>
      </c>
      <c r="Q624">
        <f t="shared" si="139"/>
        <v>0.73606153846153843</v>
      </c>
      <c r="R624">
        <f t="shared" si="140"/>
        <v>11961</v>
      </c>
      <c r="S624">
        <f t="shared" si="141"/>
        <v>11961</v>
      </c>
      <c r="T624">
        <v>11961</v>
      </c>
      <c r="U624">
        <f t="shared" si="142"/>
        <v>0</v>
      </c>
      <c r="V624">
        <v>1</v>
      </c>
      <c r="W624">
        <v>0.22500000000000001</v>
      </c>
      <c r="X624">
        <f t="shared" si="143"/>
        <v>2691.2249999999999</v>
      </c>
      <c r="Y624">
        <f t="shared" si="144"/>
        <v>2691.2249999999999</v>
      </c>
      <c r="Z624">
        <f t="shared" si="145"/>
        <v>0</v>
      </c>
      <c r="AB624" t="s">
        <v>40</v>
      </c>
    </row>
    <row r="625" spans="1:28" x14ac:dyDescent="0.25">
      <c r="A625" t="s">
        <v>839</v>
      </c>
      <c r="B625" t="s">
        <v>871</v>
      </c>
      <c r="D625" t="s">
        <v>872</v>
      </c>
      <c r="E625" t="s">
        <v>417</v>
      </c>
      <c r="F625">
        <v>18281</v>
      </c>
      <c r="G625">
        <v>18281</v>
      </c>
      <c r="H625">
        <v>1</v>
      </c>
      <c r="I625">
        <f t="shared" ref="I625:I628" si="147">(G625-F625)/F625</f>
        <v>0</v>
      </c>
      <c r="J625">
        <v>0.51</v>
      </c>
      <c r="K625">
        <f t="shared" ref="K625:K628" si="148">F625*H625*J625</f>
        <v>9323.31</v>
      </c>
      <c r="L625" t="s">
        <v>37</v>
      </c>
      <c r="N625">
        <f t="shared" si="146"/>
        <v>2773.1253264000002</v>
      </c>
      <c r="O625">
        <f t="shared" ref="O625:O628" si="149">(X625-N625)/X625</f>
        <v>8.452785778305974E-2</v>
      </c>
      <c r="P625" t="s">
        <v>39</v>
      </c>
      <c r="Q625">
        <f t="shared" ref="Q625:Q628" si="150">T625/F625</f>
        <v>0.73644767791696297</v>
      </c>
      <c r="R625">
        <f t="shared" ref="R625:R628" si="151">F625*Q625</f>
        <v>13463</v>
      </c>
      <c r="S625">
        <f t="shared" ref="S625:S628" si="152">G625*Q625</f>
        <v>13463</v>
      </c>
      <c r="T625">
        <v>13463</v>
      </c>
      <c r="U625">
        <f t="shared" ref="U625:U628" si="153">(T625-R625)/R625</f>
        <v>0</v>
      </c>
      <c r="V625">
        <v>1</v>
      </c>
      <c r="W625">
        <v>0.22500000000000001</v>
      </c>
      <c r="X625">
        <f t="shared" ref="X625:X628" si="154">R625*V625*W625</f>
        <v>3029.1750000000002</v>
      </c>
      <c r="Y625">
        <f t="shared" ref="Y625:Y628" si="155">S625*W625*V625</f>
        <v>3029.1750000000002</v>
      </c>
      <c r="Z625">
        <f t="shared" ref="Z625:Z628" si="156">(Y625-X625)/X625</f>
        <v>0</v>
      </c>
      <c r="AB625" t="s">
        <v>40</v>
      </c>
    </row>
    <row r="626" spans="1:28" x14ac:dyDescent="0.25">
      <c r="A626" t="s">
        <v>839</v>
      </c>
      <c r="B626" t="s">
        <v>873</v>
      </c>
      <c r="D626" t="s">
        <v>874</v>
      </c>
      <c r="E626" t="s">
        <v>417</v>
      </c>
      <c r="F626">
        <v>16406</v>
      </c>
      <c r="G626">
        <v>16406</v>
      </c>
      <c r="H626">
        <v>1</v>
      </c>
      <c r="I626">
        <f t="shared" si="147"/>
        <v>0</v>
      </c>
      <c r="J626">
        <v>0.51</v>
      </c>
      <c r="K626">
        <f t="shared" si="148"/>
        <v>8367.06</v>
      </c>
      <c r="L626" t="s">
        <v>37</v>
      </c>
      <c r="N626">
        <f t="shared" si="146"/>
        <v>2488.6983264000005</v>
      </c>
      <c r="O626">
        <f t="shared" si="149"/>
        <v>8.7837584474132507E-2</v>
      </c>
      <c r="P626" t="s">
        <v>39</v>
      </c>
      <c r="Q626">
        <f t="shared" si="150"/>
        <v>0.73911983420699745</v>
      </c>
      <c r="R626">
        <f t="shared" si="151"/>
        <v>12126</v>
      </c>
      <c r="S626">
        <f t="shared" si="152"/>
        <v>12126</v>
      </c>
      <c r="T626">
        <v>12126</v>
      </c>
      <c r="U626">
        <f t="shared" si="153"/>
        <v>0</v>
      </c>
      <c r="V626">
        <v>1</v>
      </c>
      <c r="W626">
        <v>0.22500000000000001</v>
      </c>
      <c r="X626">
        <f t="shared" si="154"/>
        <v>2728.35</v>
      </c>
      <c r="Y626">
        <f t="shared" si="155"/>
        <v>2728.35</v>
      </c>
      <c r="Z626">
        <f t="shared" si="156"/>
        <v>0</v>
      </c>
      <c r="AB626" t="s">
        <v>40</v>
      </c>
    </row>
    <row r="627" spans="1:28" x14ac:dyDescent="0.25">
      <c r="A627" t="s">
        <v>839</v>
      </c>
      <c r="B627" t="s">
        <v>875</v>
      </c>
      <c r="D627" t="s">
        <v>876</v>
      </c>
      <c r="E627" t="s">
        <v>417</v>
      </c>
      <c r="F627">
        <v>22344</v>
      </c>
      <c r="G627">
        <v>22344</v>
      </c>
      <c r="H627">
        <v>1</v>
      </c>
      <c r="I627">
        <f t="shared" si="147"/>
        <v>0</v>
      </c>
      <c r="J627">
        <v>0.51</v>
      </c>
      <c r="K627">
        <f t="shared" si="148"/>
        <v>11395.44</v>
      </c>
      <c r="L627" t="s">
        <v>37</v>
      </c>
      <c r="N627">
        <f t="shared" si="146"/>
        <v>3389.4596736000003</v>
      </c>
      <c r="O627">
        <f t="shared" si="149"/>
        <v>8.3793625106434719E-2</v>
      </c>
      <c r="P627" t="s">
        <v>39</v>
      </c>
      <c r="Q627">
        <f t="shared" si="150"/>
        <v>0.73585750089509483</v>
      </c>
      <c r="R627">
        <f t="shared" si="151"/>
        <v>16442</v>
      </c>
      <c r="S627">
        <f t="shared" si="152"/>
        <v>16442</v>
      </c>
      <c r="T627">
        <v>16442</v>
      </c>
      <c r="U627">
        <f t="shared" si="153"/>
        <v>0</v>
      </c>
      <c r="V627">
        <v>1</v>
      </c>
      <c r="W627">
        <v>0.22500000000000001</v>
      </c>
      <c r="X627">
        <f t="shared" si="154"/>
        <v>3699.4500000000003</v>
      </c>
      <c r="Y627">
        <f t="shared" si="155"/>
        <v>3699.4500000000003</v>
      </c>
      <c r="Z627">
        <f t="shared" si="156"/>
        <v>0</v>
      </c>
      <c r="AB627" t="s">
        <v>40</v>
      </c>
    </row>
    <row r="628" spans="1:28" x14ac:dyDescent="0.25">
      <c r="A628" t="s">
        <v>839</v>
      </c>
      <c r="B628" t="s">
        <v>877</v>
      </c>
      <c r="D628" t="s">
        <v>878</v>
      </c>
      <c r="E628" t="s">
        <v>417</v>
      </c>
      <c r="F628">
        <v>25313</v>
      </c>
      <c r="G628">
        <v>25313</v>
      </c>
      <c r="H628">
        <v>1</v>
      </c>
      <c r="I628">
        <f t="shared" si="147"/>
        <v>0</v>
      </c>
      <c r="J628">
        <v>0.51</v>
      </c>
      <c r="K628">
        <f t="shared" si="148"/>
        <v>12909.630000000001</v>
      </c>
      <c r="L628" t="s">
        <v>37</v>
      </c>
      <c r="N628">
        <f t="shared" si="146"/>
        <v>3839.8403472000009</v>
      </c>
      <c r="O628">
        <f t="shared" si="149"/>
        <v>8.4493476816336607E-2</v>
      </c>
      <c r="P628" t="s">
        <v>39</v>
      </c>
      <c r="Q628">
        <f t="shared" si="150"/>
        <v>0.73642002133291196</v>
      </c>
      <c r="R628">
        <f t="shared" si="151"/>
        <v>18641</v>
      </c>
      <c r="S628">
        <f t="shared" si="152"/>
        <v>18641</v>
      </c>
      <c r="T628">
        <v>18641</v>
      </c>
      <c r="U628">
        <f t="shared" si="153"/>
        <v>0</v>
      </c>
      <c r="V628">
        <v>1</v>
      </c>
      <c r="W628">
        <v>0.22500000000000001</v>
      </c>
      <c r="X628">
        <f t="shared" si="154"/>
        <v>4194.2250000000004</v>
      </c>
      <c r="Y628">
        <f t="shared" si="155"/>
        <v>4194.2250000000004</v>
      </c>
      <c r="Z628">
        <f t="shared" si="156"/>
        <v>0</v>
      </c>
      <c r="AB628" t="s">
        <v>40</v>
      </c>
    </row>
    <row r="629" spans="1:28" x14ac:dyDescent="0.25">
      <c r="A629" t="s">
        <v>839</v>
      </c>
      <c r="B629" t="s">
        <v>879</v>
      </c>
      <c r="D629" t="s">
        <v>880</v>
      </c>
      <c r="E629" t="s">
        <v>417</v>
      </c>
      <c r="F629">
        <v>125</v>
      </c>
      <c r="G629">
        <v>125</v>
      </c>
      <c r="H629">
        <v>1</v>
      </c>
      <c r="I629">
        <f t="shared" ref="I629:I655" si="157">(G629-F629)/F629</f>
        <v>0</v>
      </c>
      <c r="J629">
        <v>0.51</v>
      </c>
      <c r="K629">
        <f t="shared" ref="K629:K655" si="158">F629*H629*J629</f>
        <v>63.75</v>
      </c>
      <c r="L629" t="s">
        <v>37</v>
      </c>
      <c r="N629">
        <f t="shared" ref="N629:N647" si="159">K629*$N$2*$O$2</f>
        <v>18.961800000000004</v>
      </c>
      <c r="O629">
        <f t="shared" ref="O629:O655" si="160">(X629-N629)/X629</f>
        <v>0.15725333333333316</v>
      </c>
      <c r="P629" t="s">
        <v>39</v>
      </c>
      <c r="Q629">
        <f t="shared" ref="Q629:Q655" si="161">T629/F629</f>
        <v>0.8</v>
      </c>
      <c r="R629">
        <f t="shared" ref="R629:R655" si="162">F629*Q629</f>
        <v>100</v>
      </c>
      <c r="S629">
        <f t="shared" ref="S629:S655" si="163">G629*Q629</f>
        <v>100</v>
      </c>
      <c r="T629">
        <v>100</v>
      </c>
      <c r="U629">
        <f t="shared" ref="U629:U655" si="164">(T629-R629)/R629</f>
        <v>0</v>
      </c>
      <c r="V629">
        <v>1</v>
      </c>
      <c r="W629">
        <v>0.22500000000000001</v>
      </c>
      <c r="X629">
        <f t="shared" ref="X629:X655" si="165">R629*V629*W629</f>
        <v>22.5</v>
      </c>
      <c r="Y629">
        <f t="shared" ref="Y629:Y655" si="166">S629*W629*V629</f>
        <v>22.5</v>
      </c>
      <c r="Z629">
        <f t="shared" ref="Z629:Z655" si="167">(Y629-X629)/X629</f>
        <v>0</v>
      </c>
      <c r="AB629" t="s">
        <v>40</v>
      </c>
    </row>
    <row r="630" spans="1:28" x14ac:dyDescent="0.25">
      <c r="A630" t="s">
        <v>839</v>
      </c>
      <c r="B630" t="s">
        <v>881</v>
      </c>
      <c r="D630" t="s">
        <v>882</v>
      </c>
      <c r="E630" t="s">
        <v>417</v>
      </c>
      <c r="F630">
        <v>139</v>
      </c>
      <c r="G630">
        <v>139</v>
      </c>
      <c r="H630">
        <v>1</v>
      </c>
      <c r="I630">
        <f t="shared" si="157"/>
        <v>0</v>
      </c>
      <c r="J630">
        <v>0.51</v>
      </c>
      <c r="K630">
        <f t="shared" si="158"/>
        <v>70.89</v>
      </c>
      <c r="L630" t="s">
        <v>37</v>
      </c>
      <c r="N630">
        <f t="shared" si="159"/>
        <v>21.085521600000003</v>
      </c>
      <c r="O630">
        <f t="shared" si="160"/>
        <v>0.15573487087087079</v>
      </c>
      <c r="P630" t="s">
        <v>39</v>
      </c>
      <c r="Q630">
        <f t="shared" si="161"/>
        <v>0.79856115107913672</v>
      </c>
      <c r="R630">
        <f t="shared" si="162"/>
        <v>111</v>
      </c>
      <c r="S630">
        <f t="shared" si="163"/>
        <v>111</v>
      </c>
      <c r="T630">
        <v>111</v>
      </c>
      <c r="U630">
        <f t="shared" si="164"/>
        <v>0</v>
      </c>
      <c r="V630">
        <v>1</v>
      </c>
      <c r="W630">
        <v>0.22500000000000001</v>
      </c>
      <c r="X630">
        <f t="shared" si="165"/>
        <v>24.975000000000001</v>
      </c>
      <c r="Y630">
        <f t="shared" si="166"/>
        <v>24.975000000000001</v>
      </c>
      <c r="Z630">
        <f t="shared" si="167"/>
        <v>0</v>
      </c>
      <c r="AB630" t="s">
        <v>40</v>
      </c>
    </row>
    <row r="631" spans="1:28" x14ac:dyDescent="0.25">
      <c r="A631" t="s">
        <v>839</v>
      </c>
      <c r="B631" t="s">
        <v>883</v>
      </c>
      <c r="D631" t="s">
        <v>884</v>
      </c>
      <c r="E631" t="s">
        <v>417</v>
      </c>
      <c r="F631">
        <v>578</v>
      </c>
      <c r="G631">
        <v>578</v>
      </c>
      <c r="H631">
        <v>1</v>
      </c>
      <c r="I631">
        <f t="shared" si="157"/>
        <v>0</v>
      </c>
      <c r="J631">
        <v>0.51</v>
      </c>
      <c r="K631">
        <f t="shared" si="158"/>
        <v>294.78000000000003</v>
      </c>
      <c r="L631" t="s">
        <v>37</v>
      </c>
      <c r="N631">
        <f t="shared" si="159"/>
        <v>87.679363200000012</v>
      </c>
      <c r="O631">
        <f t="shared" si="160"/>
        <v>0.1435471238095237</v>
      </c>
      <c r="P631" t="s">
        <v>39</v>
      </c>
      <c r="Q631">
        <f t="shared" si="161"/>
        <v>0.78719723183390999</v>
      </c>
      <c r="R631">
        <f t="shared" si="162"/>
        <v>455</v>
      </c>
      <c r="S631">
        <f t="shared" si="163"/>
        <v>455</v>
      </c>
      <c r="T631">
        <v>455</v>
      </c>
      <c r="U631">
        <f t="shared" si="164"/>
        <v>0</v>
      </c>
      <c r="V631">
        <v>1</v>
      </c>
      <c r="W631">
        <v>0.22500000000000001</v>
      </c>
      <c r="X631">
        <f t="shared" si="165"/>
        <v>102.375</v>
      </c>
      <c r="Y631">
        <f t="shared" si="166"/>
        <v>102.375</v>
      </c>
      <c r="Z631">
        <f t="shared" si="167"/>
        <v>0</v>
      </c>
      <c r="AB631" t="s">
        <v>40</v>
      </c>
    </row>
    <row r="632" spans="1:28" x14ac:dyDescent="0.25">
      <c r="A632" t="s">
        <v>839</v>
      </c>
      <c r="B632" t="s">
        <v>885</v>
      </c>
      <c r="D632" t="s">
        <v>886</v>
      </c>
      <c r="E632" t="s">
        <v>417</v>
      </c>
      <c r="F632">
        <v>172</v>
      </c>
      <c r="G632">
        <v>172</v>
      </c>
      <c r="H632">
        <v>1</v>
      </c>
      <c r="I632">
        <f t="shared" si="157"/>
        <v>0</v>
      </c>
      <c r="J632">
        <v>0.51</v>
      </c>
      <c r="K632">
        <f t="shared" si="158"/>
        <v>87.72</v>
      </c>
      <c r="L632" t="s">
        <v>37</v>
      </c>
      <c r="N632">
        <f t="shared" si="159"/>
        <v>26.091436800000004</v>
      </c>
      <c r="O632">
        <f t="shared" si="160"/>
        <v>0.12810570426065152</v>
      </c>
      <c r="P632" t="s">
        <v>39</v>
      </c>
      <c r="Q632">
        <f t="shared" si="161"/>
        <v>0.77325581395348841</v>
      </c>
      <c r="R632">
        <f t="shared" si="162"/>
        <v>133</v>
      </c>
      <c r="S632">
        <f t="shared" si="163"/>
        <v>133</v>
      </c>
      <c r="T632">
        <v>133</v>
      </c>
      <c r="U632">
        <f t="shared" si="164"/>
        <v>0</v>
      </c>
      <c r="V632">
        <v>1</v>
      </c>
      <c r="W632">
        <v>0.22500000000000001</v>
      </c>
      <c r="X632">
        <f t="shared" si="165"/>
        <v>29.925000000000001</v>
      </c>
      <c r="Y632">
        <f t="shared" si="166"/>
        <v>29.925000000000001</v>
      </c>
      <c r="Z632">
        <f t="shared" si="167"/>
        <v>0</v>
      </c>
      <c r="AB632" t="s">
        <v>40</v>
      </c>
    </row>
    <row r="633" spans="1:28" x14ac:dyDescent="0.25">
      <c r="A633" t="s">
        <v>839</v>
      </c>
      <c r="B633" t="s">
        <v>887</v>
      </c>
      <c r="D633" t="s">
        <v>888</v>
      </c>
      <c r="E633" t="s">
        <v>417</v>
      </c>
      <c r="F633">
        <v>500</v>
      </c>
      <c r="G633">
        <v>500</v>
      </c>
      <c r="H633">
        <v>1</v>
      </c>
      <c r="I633">
        <f t="shared" si="157"/>
        <v>0</v>
      </c>
      <c r="J633">
        <v>0.51</v>
      </c>
      <c r="K633">
        <f t="shared" si="158"/>
        <v>255</v>
      </c>
      <c r="L633" t="s">
        <v>37</v>
      </c>
      <c r="N633">
        <f t="shared" si="159"/>
        <v>75.847200000000015</v>
      </c>
      <c r="O633">
        <f t="shared" si="160"/>
        <v>0.15725333333333316</v>
      </c>
      <c r="P633" t="s">
        <v>39</v>
      </c>
      <c r="Q633">
        <f t="shared" si="161"/>
        <v>0.8</v>
      </c>
      <c r="R633">
        <f t="shared" si="162"/>
        <v>400</v>
      </c>
      <c r="S633">
        <f t="shared" si="163"/>
        <v>400</v>
      </c>
      <c r="T633">
        <v>400</v>
      </c>
      <c r="U633">
        <f t="shared" si="164"/>
        <v>0</v>
      </c>
      <c r="V633">
        <v>1</v>
      </c>
      <c r="W633">
        <v>0.22500000000000001</v>
      </c>
      <c r="X633">
        <f t="shared" si="165"/>
        <v>90</v>
      </c>
      <c r="Y633">
        <f t="shared" si="166"/>
        <v>90</v>
      </c>
      <c r="Z633">
        <f t="shared" si="167"/>
        <v>0</v>
      </c>
      <c r="AB633" t="s">
        <v>40</v>
      </c>
    </row>
    <row r="634" spans="1:28" x14ac:dyDescent="0.25">
      <c r="A634" t="s">
        <v>839</v>
      </c>
      <c r="B634" t="s">
        <v>889</v>
      </c>
      <c r="D634" t="s">
        <v>890</v>
      </c>
      <c r="E634" t="s">
        <v>417</v>
      </c>
      <c r="F634">
        <v>719</v>
      </c>
      <c r="G634">
        <v>719</v>
      </c>
      <c r="H634">
        <v>1</v>
      </c>
      <c r="I634">
        <f t="shared" si="157"/>
        <v>0</v>
      </c>
      <c r="J634">
        <v>0.51</v>
      </c>
      <c r="K634">
        <f t="shared" si="158"/>
        <v>366.69</v>
      </c>
      <c r="L634" t="s">
        <v>37</v>
      </c>
      <c r="N634">
        <f t="shared" si="159"/>
        <v>109.06827360000001</v>
      </c>
      <c r="O634">
        <f t="shared" si="160"/>
        <v>0.16133584313725488</v>
      </c>
      <c r="P634" t="s">
        <v>39</v>
      </c>
      <c r="Q634">
        <f t="shared" si="161"/>
        <v>0.80389429763560505</v>
      </c>
      <c r="R634">
        <f t="shared" si="162"/>
        <v>578</v>
      </c>
      <c r="S634">
        <f t="shared" si="163"/>
        <v>578</v>
      </c>
      <c r="T634">
        <v>578</v>
      </c>
      <c r="U634">
        <f t="shared" si="164"/>
        <v>0</v>
      </c>
      <c r="V634">
        <v>1</v>
      </c>
      <c r="W634">
        <v>0.22500000000000001</v>
      </c>
      <c r="X634">
        <f t="shared" si="165"/>
        <v>130.05000000000001</v>
      </c>
      <c r="Y634">
        <f t="shared" si="166"/>
        <v>130.05000000000001</v>
      </c>
      <c r="Z634">
        <f t="shared" si="167"/>
        <v>0</v>
      </c>
      <c r="AB634" t="s">
        <v>40</v>
      </c>
    </row>
    <row r="635" spans="1:28" x14ac:dyDescent="0.25">
      <c r="A635" t="s">
        <v>839</v>
      </c>
      <c r="B635" t="s">
        <v>891</v>
      </c>
      <c r="D635" t="s">
        <v>892</v>
      </c>
      <c r="E635" t="s">
        <v>417</v>
      </c>
      <c r="F635">
        <v>203</v>
      </c>
      <c r="G635">
        <v>203</v>
      </c>
      <c r="H635">
        <v>1</v>
      </c>
      <c r="I635">
        <f t="shared" si="157"/>
        <v>0</v>
      </c>
      <c r="J635">
        <v>0.51</v>
      </c>
      <c r="K635">
        <f t="shared" si="158"/>
        <v>103.53</v>
      </c>
      <c r="L635" t="s">
        <v>37</v>
      </c>
      <c r="N635">
        <f t="shared" si="159"/>
        <v>30.793963200000007</v>
      </c>
      <c r="O635">
        <f t="shared" si="160"/>
        <v>0.12267911111111093</v>
      </c>
      <c r="P635" t="s">
        <v>39</v>
      </c>
      <c r="Q635">
        <f t="shared" si="161"/>
        <v>0.76847290640394084</v>
      </c>
      <c r="R635">
        <f t="shared" si="162"/>
        <v>156</v>
      </c>
      <c r="S635">
        <f t="shared" si="163"/>
        <v>156</v>
      </c>
      <c r="T635">
        <v>156</v>
      </c>
      <c r="U635">
        <f t="shared" si="164"/>
        <v>0</v>
      </c>
      <c r="V635">
        <v>1</v>
      </c>
      <c r="W635">
        <v>0.22500000000000001</v>
      </c>
      <c r="X635">
        <f t="shared" si="165"/>
        <v>35.1</v>
      </c>
      <c r="Y635">
        <f t="shared" si="166"/>
        <v>35.1</v>
      </c>
      <c r="Z635">
        <f t="shared" si="167"/>
        <v>0</v>
      </c>
      <c r="AB635" t="s">
        <v>40</v>
      </c>
    </row>
    <row r="636" spans="1:28" x14ac:dyDescent="0.25">
      <c r="A636" t="s">
        <v>839</v>
      </c>
      <c r="B636" t="s">
        <v>893</v>
      </c>
      <c r="D636" t="s">
        <v>894</v>
      </c>
      <c r="E636" t="s">
        <v>417</v>
      </c>
      <c r="F636">
        <v>641</v>
      </c>
      <c r="G636">
        <v>641</v>
      </c>
      <c r="H636">
        <v>1</v>
      </c>
      <c r="I636">
        <f t="shared" si="157"/>
        <v>0</v>
      </c>
      <c r="J636">
        <v>0.51</v>
      </c>
      <c r="K636">
        <f t="shared" si="158"/>
        <v>326.91000000000003</v>
      </c>
      <c r="L636" t="s">
        <v>37</v>
      </c>
      <c r="N636">
        <f t="shared" si="159"/>
        <v>97.23611040000003</v>
      </c>
      <c r="O636">
        <f t="shared" si="160"/>
        <v>0.15428475407697295</v>
      </c>
      <c r="P636" t="s">
        <v>39</v>
      </c>
      <c r="Q636">
        <f t="shared" si="161"/>
        <v>0.79719188767550697</v>
      </c>
      <c r="R636">
        <f t="shared" si="162"/>
        <v>510.99999999999994</v>
      </c>
      <c r="S636">
        <f t="shared" si="163"/>
        <v>510.99999999999994</v>
      </c>
      <c r="T636">
        <v>511</v>
      </c>
      <c r="U636">
        <f t="shared" si="164"/>
        <v>1.1123956724228576E-16</v>
      </c>
      <c r="V636">
        <v>1</v>
      </c>
      <c r="W636">
        <v>0.22500000000000001</v>
      </c>
      <c r="X636">
        <f t="shared" si="165"/>
        <v>114.97499999999999</v>
      </c>
      <c r="Y636">
        <f t="shared" si="166"/>
        <v>114.97499999999999</v>
      </c>
      <c r="Z636">
        <f t="shared" si="167"/>
        <v>0</v>
      </c>
      <c r="AB636" t="s">
        <v>40</v>
      </c>
    </row>
    <row r="637" spans="1:28" x14ac:dyDescent="0.25">
      <c r="A637" t="s">
        <v>839</v>
      </c>
      <c r="B637" t="s">
        <v>895</v>
      </c>
      <c r="D637" t="s">
        <v>896</v>
      </c>
      <c r="E637" t="s">
        <v>417</v>
      </c>
      <c r="F637">
        <v>922</v>
      </c>
      <c r="G637">
        <v>922</v>
      </c>
      <c r="H637">
        <v>1</v>
      </c>
      <c r="I637">
        <f t="shared" si="157"/>
        <v>0</v>
      </c>
      <c r="J637">
        <v>0.51</v>
      </c>
      <c r="K637">
        <f t="shared" si="158"/>
        <v>470.22</v>
      </c>
      <c r="L637" t="s">
        <v>37</v>
      </c>
      <c r="N637">
        <f t="shared" si="159"/>
        <v>139.86223680000003</v>
      </c>
      <c r="O637">
        <f t="shared" si="160"/>
        <v>0.15196460936789435</v>
      </c>
      <c r="P637" t="s">
        <v>39</v>
      </c>
      <c r="Q637">
        <f t="shared" si="161"/>
        <v>0.79501084598698479</v>
      </c>
      <c r="R637">
        <f t="shared" si="162"/>
        <v>733</v>
      </c>
      <c r="S637">
        <f t="shared" si="163"/>
        <v>733</v>
      </c>
      <c r="T637">
        <v>733</v>
      </c>
      <c r="U637">
        <f t="shared" si="164"/>
        <v>0</v>
      </c>
      <c r="V637">
        <v>1</v>
      </c>
      <c r="W637">
        <v>0.22500000000000001</v>
      </c>
      <c r="X637">
        <f t="shared" si="165"/>
        <v>164.92500000000001</v>
      </c>
      <c r="Y637">
        <f t="shared" si="166"/>
        <v>164.92500000000001</v>
      </c>
      <c r="Z637">
        <f t="shared" si="167"/>
        <v>0</v>
      </c>
      <c r="AB637" t="s">
        <v>40</v>
      </c>
    </row>
    <row r="638" spans="1:28" x14ac:dyDescent="0.25">
      <c r="A638" t="s">
        <v>839</v>
      </c>
      <c r="B638" t="s">
        <v>897</v>
      </c>
      <c r="D638" t="s">
        <v>898</v>
      </c>
      <c r="E638" t="s">
        <v>417</v>
      </c>
      <c r="F638">
        <v>219</v>
      </c>
      <c r="G638">
        <v>219</v>
      </c>
      <c r="H638">
        <v>1</v>
      </c>
      <c r="I638">
        <f t="shared" si="157"/>
        <v>0</v>
      </c>
      <c r="J638">
        <v>0.51</v>
      </c>
      <c r="K638">
        <f t="shared" si="158"/>
        <v>111.69</v>
      </c>
      <c r="L638" t="s">
        <v>37</v>
      </c>
      <c r="N638">
        <f t="shared" si="159"/>
        <v>33.221073600000004</v>
      </c>
      <c r="O638">
        <f t="shared" si="160"/>
        <v>0.1158729580838323</v>
      </c>
      <c r="P638" t="s">
        <v>39</v>
      </c>
      <c r="Q638">
        <f t="shared" si="161"/>
        <v>0.76255707762557079</v>
      </c>
      <c r="R638">
        <f t="shared" si="162"/>
        <v>167</v>
      </c>
      <c r="S638">
        <f t="shared" si="163"/>
        <v>167</v>
      </c>
      <c r="T638">
        <v>167</v>
      </c>
      <c r="U638">
        <f t="shared" si="164"/>
        <v>0</v>
      </c>
      <c r="V638">
        <v>1</v>
      </c>
      <c r="W638">
        <v>0.22500000000000001</v>
      </c>
      <c r="X638">
        <f t="shared" si="165"/>
        <v>37.575000000000003</v>
      </c>
      <c r="Y638">
        <f t="shared" si="166"/>
        <v>37.575000000000003</v>
      </c>
      <c r="Z638">
        <f t="shared" si="167"/>
        <v>0</v>
      </c>
      <c r="AB638" t="s">
        <v>40</v>
      </c>
    </row>
    <row r="639" spans="1:28" x14ac:dyDescent="0.25">
      <c r="A639" t="s">
        <v>839</v>
      </c>
      <c r="B639" t="s">
        <v>899</v>
      </c>
      <c r="D639" t="s">
        <v>900</v>
      </c>
      <c r="E639" t="s">
        <v>417</v>
      </c>
      <c r="F639">
        <v>750</v>
      </c>
      <c r="G639">
        <v>750</v>
      </c>
      <c r="H639">
        <v>1</v>
      </c>
      <c r="I639">
        <f t="shared" si="157"/>
        <v>0</v>
      </c>
      <c r="J639">
        <v>0.51</v>
      </c>
      <c r="K639">
        <f t="shared" si="158"/>
        <v>382.5</v>
      </c>
      <c r="L639" t="s">
        <v>37</v>
      </c>
      <c r="N639">
        <f t="shared" si="159"/>
        <v>113.77080000000001</v>
      </c>
      <c r="O639">
        <f t="shared" si="160"/>
        <v>0.15725333333333327</v>
      </c>
      <c r="P639" t="s">
        <v>39</v>
      </c>
      <c r="Q639">
        <f t="shared" si="161"/>
        <v>0.8</v>
      </c>
      <c r="R639">
        <f t="shared" si="162"/>
        <v>600</v>
      </c>
      <c r="S639">
        <f t="shared" si="163"/>
        <v>600</v>
      </c>
      <c r="T639">
        <v>600</v>
      </c>
      <c r="U639">
        <f t="shared" si="164"/>
        <v>0</v>
      </c>
      <c r="V639">
        <v>1</v>
      </c>
      <c r="W639">
        <v>0.22500000000000001</v>
      </c>
      <c r="X639">
        <f t="shared" si="165"/>
        <v>135</v>
      </c>
      <c r="Y639">
        <f t="shared" si="166"/>
        <v>135</v>
      </c>
      <c r="Z639">
        <f t="shared" si="167"/>
        <v>0</v>
      </c>
      <c r="AB639" t="s">
        <v>40</v>
      </c>
    </row>
    <row r="640" spans="1:28" x14ac:dyDescent="0.25">
      <c r="A640" t="s">
        <v>839</v>
      </c>
      <c r="B640" t="s">
        <v>901</v>
      </c>
      <c r="D640" t="s">
        <v>902</v>
      </c>
      <c r="E640" t="s">
        <v>417</v>
      </c>
      <c r="F640">
        <v>1078</v>
      </c>
      <c r="G640">
        <v>1078</v>
      </c>
      <c r="H640">
        <v>1</v>
      </c>
      <c r="I640">
        <f t="shared" si="157"/>
        <v>0</v>
      </c>
      <c r="J640">
        <v>0.51</v>
      </c>
      <c r="K640">
        <f t="shared" si="158"/>
        <v>549.78</v>
      </c>
      <c r="L640" t="s">
        <v>37</v>
      </c>
      <c r="N640">
        <f t="shared" si="159"/>
        <v>163.52656320000003</v>
      </c>
      <c r="O640">
        <f t="shared" si="160"/>
        <v>0.16172465359477117</v>
      </c>
      <c r="P640" t="s">
        <v>39</v>
      </c>
      <c r="Q640">
        <f t="shared" si="161"/>
        <v>0.80426716141001853</v>
      </c>
      <c r="R640">
        <f t="shared" si="162"/>
        <v>867</v>
      </c>
      <c r="S640">
        <f t="shared" si="163"/>
        <v>867</v>
      </c>
      <c r="T640">
        <v>867</v>
      </c>
      <c r="U640">
        <f t="shared" si="164"/>
        <v>0</v>
      </c>
      <c r="V640">
        <v>1</v>
      </c>
      <c r="W640">
        <v>0.22500000000000001</v>
      </c>
      <c r="X640">
        <f t="shared" si="165"/>
        <v>195.07500000000002</v>
      </c>
      <c r="Y640">
        <f t="shared" si="166"/>
        <v>195.07500000000002</v>
      </c>
      <c r="Z640">
        <f t="shared" si="167"/>
        <v>0</v>
      </c>
      <c r="AB640" t="s">
        <v>40</v>
      </c>
    </row>
    <row r="641" spans="1:28" x14ac:dyDescent="0.25">
      <c r="A641" t="s">
        <v>839</v>
      </c>
      <c r="B641" t="s">
        <v>903</v>
      </c>
      <c r="D641" t="s">
        <v>904</v>
      </c>
      <c r="E641" t="s">
        <v>417</v>
      </c>
      <c r="F641">
        <v>422</v>
      </c>
      <c r="G641">
        <v>422</v>
      </c>
      <c r="H641">
        <v>1</v>
      </c>
      <c r="I641">
        <f t="shared" si="157"/>
        <v>0</v>
      </c>
      <c r="J641">
        <v>0.51</v>
      </c>
      <c r="K641">
        <f t="shared" si="158"/>
        <v>215.22</v>
      </c>
      <c r="L641" t="s">
        <v>37</v>
      </c>
      <c r="N641">
        <f t="shared" si="159"/>
        <v>64.015036800000004</v>
      </c>
      <c r="O641">
        <f t="shared" si="160"/>
        <v>0.19855978967136145</v>
      </c>
      <c r="P641" t="s">
        <v>39</v>
      </c>
      <c r="Q641">
        <f t="shared" si="161"/>
        <v>0.84123222748815163</v>
      </c>
      <c r="R641">
        <f t="shared" si="162"/>
        <v>355</v>
      </c>
      <c r="S641">
        <f t="shared" si="163"/>
        <v>355</v>
      </c>
      <c r="T641">
        <v>355</v>
      </c>
      <c r="U641">
        <f t="shared" si="164"/>
        <v>0</v>
      </c>
      <c r="V641">
        <v>1</v>
      </c>
      <c r="W641">
        <v>0.22500000000000001</v>
      </c>
      <c r="X641">
        <f t="shared" si="165"/>
        <v>79.875</v>
      </c>
      <c r="Y641">
        <f t="shared" si="166"/>
        <v>79.875</v>
      </c>
      <c r="Z641">
        <f t="shared" si="167"/>
        <v>0</v>
      </c>
      <c r="AB641" t="s">
        <v>40</v>
      </c>
    </row>
    <row r="642" spans="1:28" x14ac:dyDescent="0.25">
      <c r="A642" t="s">
        <v>839</v>
      </c>
      <c r="B642" t="s">
        <v>905</v>
      </c>
      <c r="D642" t="s">
        <v>906</v>
      </c>
      <c r="E642" t="s">
        <v>417</v>
      </c>
      <c r="F642">
        <v>1594</v>
      </c>
      <c r="G642">
        <v>1594</v>
      </c>
      <c r="H642">
        <v>1</v>
      </c>
      <c r="I642">
        <f t="shared" si="157"/>
        <v>0</v>
      </c>
      <c r="J642">
        <v>0.51</v>
      </c>
      <c r="K642">
        <f t="shared" si="158"/>
        <v>812.94</v>
      </c>
      <c r="L642" t="s">
        <v>37</v>
      </c>
      <c r="N642">
        <f t="shared" si="159"/>
        <v>241.80087360000005</v>
      </c>
      <c r="O642">
        <f t="shared" si="160"/>
        <v>0.15112910795155335</v>
      </c>
      <c r="P642" t="s">
        <v>39</v>
      </c>
      <c r="Q642">
        <f t="shared" si="161"/>
        <v>0.79422835633626099</v>
      </c>
      <c r="R642">
        <f t="shared" si="162"/>
        <v>1266</v>
      </c>
      <c r="S642">
        <f t="shared" si="163"/>
        <v>1266</v>
      </c>
      <c r="T642">
        <v>1266</v>
      </c>
      <c r="U642">
        <f t="shared" si="164"/>
        <v>0</v>
      </c>
      <c r="V642">
        <v>1</v>
      </c>
      <c r="W642">
        <v>0.22500000000000001</v>
      </c>
      <c r="X642">
        <f t="shared" si="165"/>
        <v>284.85000000000002</v>
      </c>
      <c r="Y642">
        <f t="shared" si="166"/>
        <v>284.85000000000002</v>
      </c>
      <c r="Z642">
        <f t="shared" si="167"/>
        <v>0</v>
      </c>
      <c r="AB642" t="s">
        <v>40</v>
      </c>
    </row>
    <row r="643" spans="1:28" x14ac:dyDescent="0.25">
      <c r="A643" t="s">
        <v>839</v>
      </c>
      <c r="B643" t="s">
        <v>907</v>
      </c>
      <c r="D643" t="s">
        <v>908</v>
      </c>
      <c r="E643" t="s">
        <v>417</v>
      </c>
      <c r="F643">
        <v>2344</v>
      </c>
      <c r="G643">
        <v>2344</v>
      </c>
      <c r="H643">
        <v>1</v>
      </c>
      <c r="I643">
        <f t="shared" si="157"/>
        <v>0</v>
      </c>
      <c r="J643">
        <v>0.51</v>
      </c>
      <c r="K643">
        <f t="shared" si="158"/>
        <v>1195.44</v>
      </c>
      <c r="L643" t="s">
        <v>37</v>
      </c>
      <c r="N643">
        <f t="shared" si="159"/>
        <v>355.57167360000011</v>
      </c>
      <c r="O643">
        <f t="shared" si="160"/>
        <v>0.15806150808026953</v>
      </c>
      <c r="P643" t="s">
        <v>39</v>
      </c>
      <c r="Q643">
        <f t="shared" si="161"/>
        <v>0.80076791808873715</v>
      </c>
      <c r="R643">
        <f t="shared" si="162"/>
        <v>1876.9999999999998</v>
      </c>
      <c r="S643">
        <f t="shared" si="163"/>
        <v>1876.9999999999998</v>
      </c>
      <c r="T643">
        <v>1877</v>
      </c>
      <c r="U643">
        <f t="shared" si="164"/>
        <v>1.2113674770550458E-16</v>
      </c>
      <c r="V643">
        <v>1</v>
      </c>
      <c r="W643">
        <v>0.22500000000000001</v>
      </c>
      <c r="X643">
        <f t="shared" si="165"/>
        <v>422.32499999999993</v>
      </c>
      <c r="Y643">
        <f t="shared" si="166"/>
        <v>422.32499999999993</v>
      </c>
      <c r="Z643">
        <f t="shared" si="167"/>
        <v>0</v>
      </c>
      <c r="AB643" t="s">
        <v>40</v>
      </c>
    </row>
    <row r="644" spans="1:28" x14ac:dyDescent="0.25">
      <c r="A644" t="s">
        <v>839</v>
      </c>
      <c r="B644" t="s">
        <v>909</v>
      </c>
      <c r="D644" t="s">
        <v>910</v>
      </c>
      <c r="E644" t="s">
        <v>417</v>
      </c>
      <c r="F644">
        <v>547</v>
      </c>
      <c r="G644">
        <v>547</v>
      </c>
      <c r="H644">
        <v>1</v>
      </c>
      <c r="I644">
        <f t="shared" si="157"/>
        <v>0</v>
      </c>
      <c r="J644">
        <v>0.51</v>
      </c>
      <c r="K644">
        <f t="shared" si="158"/>
        <v>278.97000000000003</v>
      </c>
      <c r="L644" t="s">
        <v>37</v>
      </c>
      <c r="N644">
        <f t="shared" si="159"/>
        <v>82.976836800000015</v>
      </c>
      <c r="O644">
        <f t="shared" si="160"/>
        <v>0.16940103303303292</v>
      </c>
      <c r="P644" t="s">
        <v>39</v>
      </c>
      <c r="Q644">
        <f t="shared" si="161"/>
        <v>0.8117001828153565</v>
      </c>
      <c r="R644">
        <f t="shared" si="162"/>
        <v>444</v>
      </c>
      <c r="S644">
        <f t="shared" si="163"/>
        <v>444</v>
      </c>
      <c r="T644">
        <v>444</v>
      </c>
      <c r="U644">
        <f t="shared" si="164"/>
        <v>0</v>
      </c>
      <c r="V644">
        <v>1</v>
      </c>
      <c r="W644">
        <v>0.22500000000000001</v>
      </c>
      <c r="X644">
        <f t="shared" si="165"/>
        <v>99.9</v>
      </c>
      <c r="Y644">
        <f t="shared" si="166"/>
        <v>99.9</v>
      </c>
      <c r="Z644">
        <f t="shared" si="167"/>
        <v>0</v>
      </c>
      <c r="AB644" t="s">
        <v>40</v>
      </c>
    </row>
    <row r="645" spans="1:28" x14ac:dyDescent="0.25">
      <c r="A645" t="s">
        <v>839</v>
      </c>
      <c r="B645" t="s">
        <v>911</v>
      </c>
      <c r="D645" t="s">
        <v>912</v>
      </c>
      <c r="E645" t="s">
        <v>417</v>
      </c>
      <c r="F645">
        <v>2766</v>
      </c>
      <c r="G645">
        <v>2766</v>
      </c>
      <c r="H645">
        <v>1</v>
      </c>
      <c r="I645">
        <f t="shared" si="157"/>
        <v>0</v>
      </c>
      <c r="J645">
        <v>0.51</v>
      </c>
      <c r="K645">
        <f t="shared" si="158"/>
        <v>1410.66</v>
      </c>
      <c r="L645" t="s">
        <v>37</v>
      </c>
      <c r="N645">
        <f t="shared" si="159"/>
        <v>419.58671040000007</v>
      </c>
      <c r="O645">
        <f t="shared" si="160"/>
        <v>0.16074265346534636</v>
      </c>
      <c r="P645" t="s">
        <v>39</v>
      </c>
      <c r="Q645">
        <f t="shared" si="161"/>
        <v>0.80332610267534343</v>
      </c>
      <c r="R645">
        <f t="shared" si="162"/>
        <v>2222</v>
      </c>
      <c r="S645">
        <f t="shared" si="163"/>
        <v>2222</v>
      </c>
      <c r="T645">
        <v>2222</v>
      </c>
      <c r="U645">
        <f t="shared" si="164"/>
        <v>0</v>
      </c>
      <c r="V645">
        <v>1</v>
      </c>
      <c r="W645">
        <v>0.22500000000000001</v>
      </c>
      <c r="X645">
        <f t="shared" si="165"/>
        <v>499.95</v>
      </c>
      <c r="Y645">
        <f t="shared" si="166"/>
        <v>499.95</v>
      </c>
      <c r="Z645">
        <f t="shared" si="167"/>
        <v>0</v>
      </c>
      <c r="AB645" t="s">
        <v>40</v>
      </c>
    </row>
    <row r="646" spans="1:28" x14ac:dyDescent="0.25">
      <c r="A646" t="s">
        <v>839</v>
      </c>
      <c r="B646" t="s">
        <v>913</v>
      </c>
      <c r="D646" t="s">
        <v>914</v>
      </c>
      <c r="E646" t="s">
        <v>417</v>
      </c>
      <c r="F646">
        <v>4297</v>
      </c>
      <c r="G646">
        <v>4297</v>
      </c>
      <c r="H646">
        <v>1</v>
      </c>
      <c r="I646">
        <f t="shared" si="157"/>
        <v>0</v>
      </c>
      <c r="J646">
        <v>0.51</v>
      </c>
      <c r="K646">
        <f t="shared" si="158"/>
        <v>2191.4700000000003</v>
      </c>
      <c r="L646" t="s">
        <v>37</v>
      </c>
      <c r="N646">
        <f t="shared" si="159"/>
        <v>651.83083680000016</v>
      </c>
      <c r="O646">
        <f t="shared" si="160"/>
        <v>0.15881941308555919</v>
      </c>
      <c r="P646" t="s">
        <v>39</v>
      </c>
      <c r="Q646">
        <f t="shared" si="161"/>
        <v>0.80148941121712824</v>
      </c>
      <c r="R646">
        <f t="shared" si="162"/>
        <v>3444</v>
      </c>
      <c r="S646">
        <f t="shared" si="163"/>
        <v>3444</v>
      </c>
      <c r="T646">
        <v>3444</v>
      </c>
      <c r="U646">
        <f t="shared" si="164"/>
        <v>0</v>
      </c>
      <c r="V646">
        <v>1</v>
      </c>
      <c r="W646">
        <v>0.22500000000000001</v>
      </c>
      <c r="X646">
        <f t="shared" si="165"/>
        <v>774.9</v>
      </c>
      <c r="Y646">
        <f t="shared" si="166"/>
        <v>774.9</v>
      </c>
      <c r="Z646">
        <f t="shared" si="167"/>
        <v>0</v>
      </c>
      <c r="AB646" t="s">
        <v>40</v>
      </c>
    </row>
    <row r="647" spans="1:28" x14ac:dyDescent="0.25">
      <c r="A647" t="s">
        <v>839</v>
      </c>
      <c r="B647" t="s">
        <v>915</v>
      </c>
      <c r="D647" t="s">
        <v>916</v>
      </c>
      <c r="E647" t="s">
        <v>417</v>
      </c>
      <c r="F647">
        <v>2359</v>
      </c>
      <c r="G647">
        <v>2359</v>
      </c>
      <c r="H647">
        <v>1</v>
      </c>
      <c r="I647">
        <f t="shared" si="157"/>
        <v>0</v>
      </c>
      <c r="J647">
        <v>0.51</v>
      </c>
      <c r="K647">
        <f t="shared" si="158"/>
        <v>1203.0899999999999</v>
      </c>
      <c r="L647" t="s">
        <v>37</v>
      </c>
      <c r="N647">
        <f t="shared" si="159"/>
        <v>357.84708960000006</v>
      </c>
      <c r="O647">
        <f t="shared" si="160"/>
        <v>0.15805637409564136</v>
      </c>
      <c r="P647" t="s">
        <v>39</v>
      </c>
      <c r="Q647">
        <f t="shared" si="161"/>
        <v>0.80076303518440017</v>
      </c>
      <c r="R647">
        <f t="shared" si="162"/>
        <v>1889</v>
      </c>
      <c r="S647">
        <f t="shared" si="163"/>
        <v>1889</v>
      </c>
      <c r="T647">
        <v>1889</v>
      </c>
      <c r="U647">
        <f t="shared" si="164"/>
        <v>0</v>
      </c>
      <c r="V647">
        <v>1</v>
      </c>
      <c r="W647">
        <v>0.22500000000000001</v>
      </c>
      <c r="X647">
        <f t="shared" si="165"/>
        <v>425.02500000000003</v>
      </c>
      <c r="Y647">
        <f t="shared" si="166"/>
        <v>425.02500000000003</v>
      </c>
      <c r="Z647">
        <f t="shared" si="167"/>
        <v>0</v>
      </c>
      <c r="AB647" t="s">
        <v>40</v>
      </c>
    </row>
    <row r="648" spans="1:28" x14ac:dyDescent="0.25">
      <c r="A648" t="s">
        <v>839</v>
      </c>
      <c r="B648" t="s">
        <v>917</v>
      </c>
      <c r="D648" t="s">
        <v>918</v>
      </c>
      <c r="E648" t="s">
        <v>417</v>
      </c>
      <c r="F648">
        <v>5516</v>
      </c>
      <c r="G648">
        <v>5516</v>
      </c>
      <c r="H648">
        <v>1</v>
      </c>
      <c r="I648">
        <f t="shared" si="157"/>
        <v>0</v>
      </c>
      <c r="J648">
        <v>0.51</v>
      </c>
      <c r="K648">
        <f t="shared" si="158"/>
        <v>2813.16</v>
      </c>
      <c r="L648" t="s">
        <v>37</v>
      </c>
      <c r="N648">
        <f t="shared" ref="N648:N673" si="168">K648*$N$2*$O$2</f>
        <v>836.74631040000008</v>
      </c>
      <c r="O648">
        <f t="shared" si="160"/>
        <v>0.156718256084656</v>
      </c>
      <c r="P648" t="s">
        <v>39</v>
      </c>
      <c r="Q648">
        <f t="shared" si="161"/>
        <v>0.79949238578680204</v>
      </c>
      <c r="R648">
        <f t="shared" si="162"/>
        <v>4410</v>
      </c>
      <c r="S648">
        <f t="shared" si="163"/>
        <v>4410</v>
      </c>
      <c r="T648">
        <v>4410</v>
      </c>
      <c r="U648">
        <f t="shared" si="164"/>
        <v>0</v>
      </c>
      <c r="V648">
        <v>1</v>
      </c>
      <c r="W648">
        <v>0.22500000000000001</v>
      </c>
      <c r="X648">
        <f t="shared" si="165"/>
        <v>992.25</v>
      </c>
      <c r="Y648">
        <f t="shared" si="166"/>
        <v>992.25</v>
      </c>
      <c r="Z648">
        <f t="shared" si="167"/>
        <v>0</v>
      </c>
      <c r="AB648" t="s">
        <v>40</v>
      </c>
    </row>
    <row r="649" spans="1:28" x14ac:dyDescent="0.25">
      <c r="A649" t="s">
        <v>839</v>
      </c>
      <c r="B649" t="s">
        <v>919</v>
      </c>
      <c r="D649" t="s">
        <v>920</v>
      </c>
      <c r="E649" t="s">
        <v>417</v>
      </c>
      <c r="F649">
        <v>7031</v>
      </c>
      <c r="G649">
        <v>7031</v>
      </c>
      <c r="H649">
        <v>1</v>
      </c>
      <c r="I649">
        <f t="shared" si="157"/>
        <v>0</v>
      </c>
      <c r="J649">
        <v>0.51</v>
      </c>
      <c r="K649">
        <f t="shared" si="158"/>
        <v>3585.81</v>
      </c>
      <c r="L649" t="s">
        <v>37</v>
      </c>
      <c r="N649">
        <f t="shared" si="168"/>
        <v>1066.5633264000001</v>
      </c>
      <c r="O649">
        <f t="shared" si="160"/>
        <v>0.15833070833333332</v>
      </c>
      <c r="P649" t="s">
        <v>39</v>
      </c>
      <c r="Q649">
        <f t="shared" si="161"/>
        <v>0.80102403641018349</v>
      </c>
      <c r="R649">
        <f t="shared" si="162"/>
        <v>5632</v>
      </c>
      <c r="S649">
        <f t="shared" si="163"/>
        <v>5632</v>
      </c>
      <c r="T649">
        <v>5632</v>
      </c>
      <c r="U649">
        <f t="shared" si="164"/>
        <v>0</v>
      </c>
      <c r="V649">
        <v>1</v>
      </c>
      <c r="W649">
        <v>0.22500000000000001</v>
      </c>
      <c r="X649">
        <f t="shared" si="165"/>
        <v>1267.2</v>
      </c>
      <c r="Y649">
        <f t="shared" si="166"/>
        <v>1267.2</v>
      </c>
      <c r="Z649">
        <f t="shared" si="167"/>
        <v>0</v>
      </c>
      <c r="AB649" t="s">
        <v>40</v>
      </c>
    </row>
    <row r="650" spans="1:28" x14ac:dyDescent="0.25">
      <c r="A650" t="s">
        <v>839</v>
      </c>
      <c r="B650" t="s">
        <v>921</v>
      </c>
      <c r="D650" t="s">
        <v>922</v>
      </c>
      <c r="E650" t="s">
        <v>417</v>
      </c>
      <c r="F650">
        <v>3156</v>
      </c>
      <c r="G650">
        <v>3156</v>
      </c>
      <c r="H650">
        <v>1</v>
      </c>
      <c r="I650">
        <f t="shared" si="157"/>
        <v>0</v>
      </c>
      <c r="J650">
        <v>0.51</v>
      </c>
      <c r="K650">
        <f t="shared" si="158"/>
        <v>1609.56</v>
      </c>
      <c r="L650" t="s">
        <v>37</v>
      </c>
      <c r="N650">
        <f t="shared" si="168"/>
        <v>478.74752640000008</v>
      </c>
      <c r="O650">
        <f t="shared" si="160"/>
        <v>0.15631769072164942</v>
      </c>
      <c r="P650" t="s">
        <v>39</v>
      </c>
      <c r="Q650">
        <f t="shared" si="161"/>
        <v>0.79911280101394166</v>
      </c>
      <c r="R650">
        <f t="shared" si="162"/>
        <v>2522</v>
      </c>
      <c r="S650">
        <f t="shared" si="163"/>
        <v>2522</v>
      </c>
      <c r="T650">
        <v>2522</v>
      </c>
      <c r="U650">
        <f t="shared" si="164"/>
        <v>0</v>
      </c>
      <c r="V650">
        <v>1</v>
      </c>
      <c r="W650">
        <v>0.22500000000000001</v>
      </c>
      <c r="X650">
        <f t="shared" si="165"/>
        <v>567.45000000000005</v>
      </c>
      <c r="Y650">
        <f t="shared" si="166"/>
        <v>567.45000000000005</v>
      </c>
      <c r="Z650">
        <f t="shared" si="167"/>
        <v>0</v>
      </c>
      <c r="AB650" t="s">
        <v>40</v>
      </c>
    </row>
    <row r="651" spans="1:28" x14ac:dyDescent="0.25">
      <c r="A651" t="s">
        <v>839</v>
      </c>
      <c r="B651" t="s">
        <v>923</v>
      </c>
      <c r="D651" t="s">
        <v>924</v>
      </c>
      <c r="E651" t="s">
        <v>417</v>
      </c>
      <c r="F651">
        <v>7281</v>
      </c>
      <c r="G651">
        <v>7281</v>
      </c>
      <c r="H651">
        <v>1</v>
      </c>
      <c r="I651">
        <f t="shared" si="157"/>
        <v>0</v>
      </c>
      <c r="J651">
        <v>0.51</v>
      </c>
      <c r="K651">
        <f t="shared" si="158"/>
        <v>3713.31</v>
      </c>
      <c r="L651" t="s">
        <v>37</v>
      </c>
      <c r="N651">
        <f t="shared" si="168"/>
        <v>1104.4869264000001</v>
      </c>
      <c r="O651">
        <f t="shared" si="160"/>
        <v>0.15670318089675311</v>
      </c>
      <c r="P651" t="s">
        <v>39</v>
      </c>
      <c r="Q651">
        <f t="shared" si="161"/>
        <v>0.79947809366845213</v>
      </c>
      <c r="R651">
        <f t="shared" si="162"/>
        <v>5821</v>
      </c>
      <c r="S651">
        <f t="shared" si="163"/>
        <v>5821</v>
      </c>
      <c r="T651">
        <v>5821</v>
      </c>
      <c r="U651">
        <f t="shared" si="164"/>
        <v>0</v>
      </c>
      <c r="V651">
        <v>1</v>
      </c>
      <c r="W651">
        <v>0.22500000000000001</v>
      </c>
      <c r="X651">
        <f t="shared" si="165"/>
        <v>1309.7250000000001</v>
      </c>
      <c r="Y651">
        <f t="shared" si="166"/>
        <v>1309.7250000000001</v>
      </c>
      <c r="Z651">
        <f t="shared" si="167"/>
        <v>0</v>
      </c>
      <c r="AB651" t="s">
        <v>40</v>
      </c>
    </row>
    <row r="652" spans="1:28" x14ac:dyDescent="0.25">
      <c r="A652" t="s">
        <v>839</v>
      </c>
      <c r="B652" t="s">
        <v>925</v>
      </c>
      <c r="D652" t="s">
        <v>926</v>
      </c>
      <c r="E652" t="s">
        <v>417</v>
      </c>
      <c r="F652">
        <v>9297</v>
      </c>
      <c r="G652">
        <v>9297</v>
      </c>
      <c r="H652">
        <v>1</v>
      </c>
      <c r="I652">
        <f t="shared" si="157"/>
        <v>0</v>
      </c>
      <c r="J652">
        <v>0.51</v>
      </c>
      <c r="K652">
        <f t="shared" si="158"/>
        <v>4741.47</v>
      </c>
      <c r="L652" t="s">
        <v>37</v>
      </c>
      <c r="N652">
        <f t="shared" si="168"/>
        <v>1410.3028368000003</v>
      </c>
      <c r="O652">
        <f t="shared" si="160"/>
        <v>0.15786475775896799</v>
      </c>
      <c r="P652" t="s">
        <v>39</v>
      </c>
      <c r="Q652">
        <f t="shared" si="161"/>
        <v>0.80058083252662149</v>
      </c>
      <c r="R652">
        <f t="shared" si="162"/>
        <v>7443</v>
      </c>
      <c r="S652">
        <f t="shared" si="163"/>
        <v>7443</v>
      </c>
      <c r="T652">
        <v>7443</v>
      </c>
      <c r="U652">
        <f t="shared" si="164"/>
        <v>0</v>
      </c>
      <c r="V652">
        <v>1</v>
      </c>
      <c r="W652">
        <v>0.22500000000000001</v>
      </c>
      <c r="X652">
        <f t="shared" si="165"/>
        <v>1674.675</v>
      </c>
      <c r="Y652">
        <f t="shared" si="166"/>
        <v>1674.675</v>
      </c>
      <c r="Z652">
        <f t="shared" si="167"/>
        <v>0</v>
      </c>
      <c r="AB652" t="s">
        <v>40</v>
      </c>
    </row>
    <row r="653" spans="1:28" x14ac:dyDescent="0.25">
      <c r="A653" t="s">
        <v>839</v>
      </c>
      <c r="B653" t="s">
        <v>927</v>
      </c>
      <c r="D653" t="s">
        <v>928</v>
      </c>
      <c r="E653" t="s">
        <v>417</v>
      </c>
      <c r="F653">
        <v>4453</v>
      </c>
      <c r="G653">
        <v>4453</v>
      </c>
      <c r="H653">
        <v>1</v>
      </c>
      <c r="I653">
        <f t="shared" si="157"/>
        <v>0</v>
      </c>
      <c r="J653">
        <v>0.51</v>
      </c>
      <c r="K653">
        <f t="shared" si="158"/>
        <v>2271.0300000000002</v>
      </c>
      <c r="L653" t="s">
        <v>37</v>
      </c>
      <c r="N653">
        <f t="shared" si="168"/>
        <v>675.49516320000021</v>
      </c>
      <c r="O653">
        <f t="shared" si="160"/>
        <v>0.15549909273323931</v>
      </c>
      <c r="P653" t="s">
        <v>39</v>
      </c>
      <c r="Q653">
        <f t="shared" si="161"/>
        <v>0.79833819896698854</v>
      </c>
      <c r="R653">
        <f t="shared" si="162"/>
        <v>3555</v>
      </c>
      <c r="S653">
        <f t="shared" si="163"/>
        <v>3555</v>
      </c>
      <c r="T653">
        <v>3555</v>
      </c>
      <c r="U653">
        <f t="shared" si="164"/>
        <v>0</v>
      </c>
      <c r="V653">
        <v>1</v>
      </c>
      <c r="W653">
        <v>0.22500000000000001</v>
      </c>
      <c r="X653">
        <f t="shared" si="165"/>
        <v>799.875</v>
      </c>
      <c r="Y653">
        <f t="shared" si="166"/>
        <v>799.875</v>
      </c>
      <c r="Z653">
        <f t="shared" si="167"/>
        <v>0</v>
      </c>
      <c r="AB653" t="s">
        <v>40</v>
      </c>
    </row>
    <row r="654" spans="1:28" x14ac:dyDescent="0.25">
      <c r="A654" t="s">
        <v>839</v>
      </c>
      <c r="B654" t="s">
        <v>929</v>
      </c>
      <c r="D654" t="s">
        <v>930</v>
      </c>
      <c r="E654" t="s">
        <v>417</v>
      </c>
      <c r="F654">
        <v>10281</v>
      </c>
      <c r="G654">
        <v>10281</v>
      </c>
      <c r="H654">
        <v>1</v>
      </c>
      <c r="I654">
        <f t="shared" si="157"/>
        <v>0</v>
      </c>
      <c r="J654">
        <v>0.51</v>
      </c>
      <c r="K654">
        <f t="shared" si="158"/>
        <v>5243.31</v>
      </c>
      <c r="L654" t="s">
        <v>37</v>
      </c>
      <c r="N654">
        <f t="shared" si="168"/>
        <v>1559.5701264000004</v>
      </c>
      <c r="O654">
        <f t="shared" si="160"/>
        <v>0.15686378980659271</v>
      </c>
      <c r="P654" t="s">
        <v>39</v>
      </c>
      <c r="Q654">
        <f t="shared" si="161"/>
        <v>0.79963038614920723</v>
      </c>
      <c r="R654">
        <f t="shared" si="162"/>
        <v>8221</v>
      </c>
      <c r="S654">
        <f t="shared" si="163"/>
        <v>8221</v>
      </c>
      <c r="T654">
        <v>8221</v>
      </c>
      <c r="U654">
        <f t="shared" si="164"/>
        <v>0</v>
      </c>
      <c r="V654">
        <v>1</v>
      </c>
      <c r="W654">
        <v>0.22500000000000001</v>
      </c>
      <c r="X654">
        <f t="shared" si="165"/>
        <v>1849.7250000000001</v>
      </c>
      <c r="Y654">
        <f t="shared" si="166"/>
        <v>1849.7250000000001</v>
      </c>
      <c r="Z654">
        <f t="shared" si="167"/>
        <v>0</v>
      </c>
      <c r="AB654" t="s">
        <v>40</v>
      </c>
    </row>
    <row r="655" spans="1:28" x14ac:dyDescent="0.25">
      <c r="A655" t="s">
        <v>839</v>
      </c>
      <c r="B655" t="s">
        <v>931</v>
      </c>
      <c r="D655" t="s">
        <v>932</v>
      </c>
      <c r="E655" t="s">
        <v>417</v>
      </c>
      <c r="F655">
        <v>13234</v>
      </c>
      <c r="G655">
        <v>13234</v>
      </c>
      <c r="H655">
        <v>1</v>
      </c>
      <c r="I655">
        <f t="shared" si="157"/>
        <v>0</v>
      </c>
      <c r="J655">
        <v>0.51</v>
      </c>
      <c r="K655">
        <f t="shared" si="158"/>
        <v>6749.34</v>
      </c>
      <c r="L655" t="s">
        <v>37</v>
      </c>
      <c r="N655">
        <f t="shared" si="168"/>
        <v>2007.5236896000004</v>
      </c>
      <c r="O655">
        <f t="shared" si="160"/>
        <v>0.15811214292004772</v>
      </c>
      <c r="P655" t="s">
        <v>39</v>
      </c>
      <c r="Q655">
        <f t="shared" si="161"/>
        <v>0.80081607979446878</v>
      </c>
      <c r="R655">
        <f t="shared" si="162"/>
        <v>10598</v>
      </c>
      <c r="S655">
        <f t="shared" si="163"/>
        <v>10598</v>
      </c>
      <c r="T655">
        <v>10598</v>
      </c>
      <c r="U655">
        <f t="shared" si="164"/>
        <v>0</v>
      </c>
      <c r="V655">
        <v>1</v>
      </c>
      <c r="W655">
        <v>0.22500000000000001</v>
      </c>
      <c r="X655">
        <f t="shared" si="165"/>
        <v>2384.5500000000002</v>
      </c>
      <c r="Y655">
        <f t="shared" si="166"/>
        <v>2384.5500000000002</v>
      </c>
      <c r="Z655">
        <f t="shared" si="167"/>
        <v>0</v>
      </c>
      <c r="AB655" t="s">
        <v>40</v>
      </c>
    </row>
    <row r="656" spans="1:28" x14ac:dyDescent="0.25">
      <c r="A656" t="s">
        <v>933</v>
      </c>
      <c r="B656" t="s">
        <v>935</v>
      </c>
      <c r="C656" t="s">
        <v>936</v>
      </c>
      <c r="D656" t="s">
        <v>937</v>
      </c>
      <c r="E656" t="s">
        <v>417</v>
      </c>
      <c r="F656">
        <v>7920</v>
      </c>
      <c r="G656">
        <v>7920</v>
      </c>
      <c r="H656">
        <v>1</v>
      </c>
      <c r="I656">
        <f t="shared" ref="I656:I677" si="169">(G656-F656)/F656</f>
        <v>0</v>
      </c>
      <c r="J656">
        <v>0.4</v>
      </c>
      <c r="K656">
        <f t="shared" ref="K656:K677" si="170">F656*H656*J656</f>
        <v>3168</v>
      </c>
      <c r="L656" t="s">
        <v>37</v>
      </c>
      <c r="N656">
        <f t="shared" si="168"/>
        <v>942.28992000000017</v>
      </c>
      <c r="O656">
        <f t="shared" ref="O656:O677" si="171">(X656-N656)/X656</f>
        <v>8.7591459694988952E-2</v>
      </c>
      <c r="P656" t="s">
        <v>39</v>
      </c>
      <c r="Q656">
        <f t="shared" ref="Q656:Q677" si="172">T656/F656</f>
        <v>0.57954545454545459</v>
      </c>
      <c r="R656">
        <f t="shared" ref="R656:R677" si="173">F656*Q656</f>
        <v>4590</v>
      </c>
      <c r="S656">
        <f t="shared" ref="S656:S677" si="174">G656*Q656</f>
        <v>4590</v>
      </c>
      <c r="T656">
        <v>4590</v>
      </c>
      <c r="U656">
        <f t="shared" ref="U656:U677" si="175">(T656-R656)/R656</f>
        <v>0</v>
      </c>
      <c r="V656">
        <v>1</v>
      </c>
      <c r="W656">
        <v>0.22500000000000001</v>
      </c>
      <c r="X656">
        <f t="shared" ref="X656:X677" si="176">R656*V656*W656</f>
        <v>1032.75</v>
      </c>
      <c r="Y656">
        <f t="shared" ref="Y656:Y677" si="177">S656*W656*V656</f>
        <v>1032.75</v>
      </c>
      <c r="Z656">
        <f t="shared" ref="Z656:Z677" si="178">(Y656-X656)/X656</f>
        <v>0</v>
      </c>
      <c r="AB656" t="s">
        <v>934</v>
      </c>
    </row>
    <row r="657" spans="1:28" x14ac:dyDescent="0.25">
      <c r="A657" t="s">
        <v>933</v>
      </c>
      <c r="B657" t="s">
        <v>338</v>
      </c>
      <c r="D657" t="s">
        <v>938</v>
      </c>
      <c r="E657" t="s">
        <v>417</v>
      </c>
      <c r="F657">
        <v>21600</v>
      </c>
      <c r="G657">
        <v>21600</v>
      </c>
      <c r="H657">
        <v>1</v>
      </c>
      <c r="I657">
        <f t="shared" si="169"/>
        <v>0</v>
      </c>
      <c r="J657">
        <v>0.4</v>
      </c>
      <c r="K657">
        <f t="shared" si="170"/>
        <v>8640</v>
      </c>
      <c r="L657" t="s">
        <v>37</v>
      </c>
      <c r="N657">
        <f t="shared" si="168"/>
        <v>2569.8816000000006</v>
      </c>
      <c r="O657">
        <f t="shared" si="171"/>
        <v>6.2258128078817511E-2</v>
      </c>
      <c r="P657" t="s">
        <v>39</v>
      </c>
      <c r="Q657">
        <f t="shared" si="172"/>
        <v>0.56388888888888888</v>
      </c>
      <c r="R657">
        <f t="shared" si="173"/>
        <v>12180</v>
      </c>
      <c r="S657">
        <f t="shared" si="174"/>
        <v>12180</v>
      </c>
      <c r="T657">
        <v>12180</v>
      </c>
      <c r="U657">
        <f t="shared" si="175"/>
        <v>0</v>
      </c>
      <c r="V657">
        <v>1</v>
      </c>
      <c r="W657">
        <v>0.22500000000000001</v>
      </c>
      <c r="X657">
        <f t="shared" si="176"/>
        <v>2740.5</v>
      </c>
      <c r="Y657">
        <f t="shared" si="177"/>
        <v>2740.5</v>
      </c>
      <c r="Z657">
        <f t="shared" si="178"/>
        <v>0</v>
      </c>
      <c r="AB657" t="s">
        <v>934</v>
      </c>
    </row>
    <row r="658" spans="1:28" x14ac:dyDescent="0.25">
      <c r="A658" t="s">
        <v>933</v>
      </c>
      <c r="B658" t="s">
        <v>339</v>
      </c>
      <c r="D658" t="s">
        <v>939</v>
      </c>
      <c r="E658" t="s">
        <v>417</v>
      </c>
      <c r="F658">
        <v>23180</v>
      </c>
      <c r="G658">
        <v>23180</v>
      </c>
      <c r="H658">
        <v>1</v>
      </c>
      <c r="I658">
        <f t="shared" si="169"/>
        <v>0</v>
      </c>
      <c r="J658">
        <v>0.4</v>
      </c>
      <c r="K658">
        <f t="shared" si="170"/>
        <v>9272</v>
      </c>
      <c r="L658" t="s">
        <v>37</v>
      </c>
      <c r="N658">
        <f t="shared" si="168"/>
        <v>2757.8636800000004</v>
      </c>
      <c r="O658">
        <f t="shared" si="171"/>
        <v>6.2907346245327622E-2</v>
      </c>
      <c r="P658" t="s">
        <v>39</v>
      </c>
      <c r="Q658">
        <f t="shared" si="172"/>
        <v>0.56427955133735974</v>
      </c>
      <c r="R658">
        <f t="shared" si="173"/>
        <v>13079.999999999998</v>
      </c>
      <c r="S658">
        <f t="shared" si="174"/>
        <v>13079.999999999998</v>
      </c>
      <c r="T658">
        <v>13080</v>
      </c>
      <c r="U658">
        <f t="shared" si="175"/>
        <v>1.3906646816099822E-16</v>
      </c>
      <c r="V658">
        <v>1</v>
      </c>
      <c r="W658">
        <v>0.22500000000000001</v>
      </c>
      <c r="X658">
        <f t="shared" si="176"/>
        <v>2942.9999999999995</v>
      </c>
      <c r="Y658">
        <f t="shared" si="177"/>
        <v>2942.9999999999995</v>
      </c>
      <c r="Z658">
        <f t="shared" si="178"/>
        <v>0</v>
      </c>
      <c r="AB658" t="s">
        <v>934</v>
      </c>
    </row>
    <row r="659" spans="1:28" x14ac:dyDescent="0.25">
      <c r="A659" t="s">
        <v>933</v>
      </c>
      <c r="B659" t="s">
        <v>659</v>
      </c>
      <c r="C659" t="s">
        <v>940</v>
      </c>
      <c r="D659" t="s">
        <v>941</v>
      </c>
      <c r="E659" t="s">
        <v>417</v>
      </c>
      <c r="F659">
        <v>1100</v>
      </c>
      <c r="G659">
        <v>1100</v>
      </c>
      <c r="H659">
        <v>1</v>
      </c>
      <c r="I659">
        <f t="shared" si="169"/>
        <v>0</v>
      </c>
      <c r="J659">
        <v>0.4</v>
      </c>
      <c r="K659">
        <f t="shared" si="170"/>
        <v>440</v>
      </c>
      <c r="L659" t="s">
        <v>37</v>
      </c>
      <c r="N659">
        <f t="shared" si="168"/>
        <v>130.87360000000001</v>
      </c>
      <c r="O659">
        <f t="shared" si="171"/>
        <v>9.2573409603050674E-2</v>
      </c>
      <c r="P659" t="s">
        <v>39</v>
      </c>
      <c r="Q659">
        <f t="shared" si="172"/>
        <v>0.58272727272727276</v>
      </c>
      <c r="R659">
        <f t="shared" si="173"/>
        <v>641</v>
      </c>
      <c r="S659">
        <f t="shared" si="174"/>
        <v>641</v>
      </c>
      <c r="T659">
        <v>641</v>
      </c>
      <c r="U659">
        <f t="shared" si="175"/>
        <v>0</v>
      </c>
      <c r="V659">
        <v>1</v>
      </c>
      <c r="W659">
        <v>0.22500000000000001</v>
      </c>
      <c r="X659">
        <f t="shared" si="176"/>
        <v>144.22499999999999</v>
      </c>
      <c r="Y659">
        <f t="shared" si="177"/>
        <v>144.22499999999999</v>
      </c>
      <c r="Z659">
        <f t="shared" si="178"/>
        <v>0</v>
      </c>
      <c r="AB659" t="s">
        <v>934</v>
      </c>
    </row>
    <row r="660" spans="1:28" x14ac:dyDescent="0.25">
      <c r="A660" t="s">
        <v>933</v>
      </c>
      <c r="B660" t="s">
        <v>385</v>
      </c>
      <c r="C660" t="s">
        <v>942</v>
      </c>
      <c r="D660" t="s">
        <v>943</v>
      </c>
      <c r="E660" t="s">
        <v>417</v>
      </c>
      <c r="F660">
        <v>1580</v>
      </c>
      <c r="G660">
        <v>1580</v>
      </c>
      <c r="H660">
        <v>1</v>
      </c>
      <c r="I660">
        <f t="shared" si="169"/>
        <v>0</v>
      </c>
      <c r="J660">
        <v>0.4</v>
      </c>
      <c r="K660">
        <f t="shared" si="170"/>
        <v>632</v>
      </c>
      <c r="L660" t="s">
        <v>37</v>
      </c>
      <c r="N660">
        <f t="shared" si="168"/>
        <v>187.98208000000002</v>
      </c>
      <c r="O660">
        <f t="shared" si="171"/>
        <v>9.6782798798798683E-2</v>
      </c>
      <c r="P660" t="s">
        <v>39</v>
      </c>
      <c r="Q660">
        <f t="shared" si="172"/>
        <v>0.58544303797468356</v>
      </c>
      <c r="R660">
        <f t="shared" si="173"/>
        <v>925</v>
      </c>
      <c r="S660">
        <f t="shared" si="174"/>
        <v>925</v>
      </c>
      <c r="T660">
        <v>925</v>
      </c>
      <c r="U660">
        <f t="shared" si="175"/>
        <v>0</v>
      </c>
      <c r="V660">
        <v>1</v>
      </c>
      <c r="W660">
        <v>0.22500000000000001</v>
      </c>
      <c r="X660">
        <f t="shared" si="176"/>
        <v>208.125</v>
      </c>
      <c r="Y660">
        <f t="shared" si="177"/>
        <v>208.125</v>
      </c>
      <c r="Z660">
        <f t="shared" si="178"/>
        <v>0</v>
      </c>
      <c r="AB660" t="s">
        <v>934</v>
      </c>
    </row>
    <row r="661" spans="1:28" x14ac:dyDescent="0.25">
      <c r="A661" t="s">
        <v>933</v>
      </c>
      <c r="B661" t="s">
        <v>340</v>
      </c>
      <c r="D661" t="s">
        <v>944</v>
      </c>
      <c r="E661" t="s">
        <v>417</v>
      </c>
      <c r="F661">
        <v>28800</v>
      </c>
      <c r="G661">
        <v>28800</v>
      </c>
      <c r="H661">
        <v>1</v>
      </c>
      <c r="I661">
        <f t="shared" si="169"/>
        <v>0</v>
      </c>
      <c r="J661">
        <v>0.4</v>
      </c>
      <c r="K661">
        <f t="shared" si="170"/>
        <v>11520</v>
      </c>
      <c r="L661" t="s">
        <v>37</v>
      </c>
      <c r="N661">
        <f t="shared" si="168"/>
        <v>3426.5088000000005</v>
      </c>
      <c r="O661">
        <f t="shared" si="171"/>
        <v>7.0273015873015737E-2</v>
      </c>
      <c r="P661" t="s">
        <v>39</v>
      </c>
      <c r="Q661">
        <f t="shared" si="172"/>
        <v>0.56874999999999998</v>
      </c>
      <c r="R661">
        <f t="shared" si="173"/>
        <v>16380</v>
      </c>
      <c r="S661">
        <f t="shared" si="174"/>
        <v>16380</v>
      </c>
      <c r="T661">
        <v>16380</v>
      </c>
      <c r="U661">
        <f t="shared" si="175"/>
        <v>0</v>
      </c>
      <c r="V661">
        <v>1</v>
      </c>
      <c r="W661">
        <v>0.22500000000000001</v>
      </c>
      <c r="X661">
        <f t="shared" si="176"/>
        <v>3685.5</v>
      </c>
      <c r="Y661">
        <f t="shared" si="177"/>
        <v>3685.5</v>
      </c>
      <c r="Z661">
        <f t="shared" si="178"/>
        <v>0</v>
      </c>
      <c r="AB661" t="s">
        <v>934</v>
      </c>
    </row>
    <row r="662" spans="1:28" x14ac:dyDescent="0.25">
      <c r="A662" t="s">
        <v>933</v>
      </c>
      <c r="B662" t="s">
        <v>341</v>
      </c>
      <c r="D662" t="s">
        <v>945</v>
      </c>
      <c r="E662" t="s">
        <v>417</v>
      </c>
      <c r="F662">
        <v>31280</v>
      </c>
      <c r="G662">
        <v>31280</v>
      </c>
      <c r="H662">
        <v>1</v>
      </c>
      <c r="I662">
        <f t="shared" si="169"/>
        <v>0</v>
      </c>
      <c r="J662">
        <v>0.4</v>
      </c>
      <c r="K662">
        <f t="shared" si="170"/>
        <v>12512</v>
      </c>
      <c r="L662" t="s">
        <v>37</v>
      </c>
      <c r="N662">
        <f t="shared" si="168"/>
        <v>3721.5692800000002</v>
      </c>
      <c r="O662">
        <f t="shared" si="171"/>
        <v>6.9200455199149594E-2</v>
      </c>
      <c r="P662" t="s">
        <v>39</v>
      </c>
      <c r="Q662">
        <f t="shared" si="172"/>
        <v>0.56809462915601028</v>
      </c>
      <c r="R662">
        <f t="shared" si="173"/>
        <v>17770</v>
      </c>
      <c r="S662">
        <f t="shared" si="174"/>
        <v>17770</v>
      </c>
      <c r="T662">
        <v>17770</v>
      </c>
      <c r="U662">
        <f t="shared" si="175"/>
        <v>0</v>
      </c>
      <c r="V662">
        <v>1</v>
      </c>
      <c r="W662">
        <v>0.22500000000000001</v>
      </c>
      <c r="X662">
        <f t="shared" si="176"/>
        <v>3998.25</v>
      </c>
      <c r="Y662">
        <f t="shared" si="177"/>
        <v>3998.25</v>
      </c>
      <c r="Z662">
        <f t="shared" si="178"/>
        <v>0</v>
      </c>
      <c r="AB662" t="s">
        <v>934</v>
      </c>
    </row>
    <row r="663" spans="1:28" x14ac:dyDescent="0.25">
      <c r="A663" t="s">
        <v>933</v>
      </c>
      <c r="B663" t="s">
        <v>661</v>
      </c>
      <c r="C663" t="s">
        <v>946</v>
      </c>
      <c r="D663" t="s">
        <v>947</v>
      </c>
      <c r="E663" t="s">
        <v>417</v>
      </c>
      <c r="F663">
        <v>1360</v>
      </c>
      <c r="G663">
        <v>1360</v>
      </c>
      <c r="H663">
        <v>1</v>
      </c>
      <c r="I663">
        <f t="shared" si="169"/>
        <v>0</v>
      </c>
      <c r="J663">
        <v>0.4</v>
      </c>
      <c r="K663">
        <f t="shared" si="170"/>
        <v>544</v>
      </c>
      <c r="L663" t="s">
        <v>37</v>
      </c>
      <c r="N663">
        <f t="shared" si="168"/>
        <v>161.80736000000002</v>
      </c>
      <c r="O663">
        <f t="shared" si="171"/>
        <v>8.9691364275668123E-2</v>
      </c>
      <c r="P663" t="s">
        <v>39</v>
      </c>
      <c r="Q663">
        <f t="shared" si="172"/>
        <v>0.58088235294117652</v>
      </c>
      <c r="R663">
        <f t="shared" si="173"/>
        <v>790.00000000000011</v>
      </c>
      <c r="S663">
        <f t="shared" si="174"/>
        <v>790.00000000000011</v>
      </c>
      <c r="T663">
        <v>790</v>
      </c>
      <c r="U663">
        <f t="shared" si="175"/>
        <v>-1.4390738952103293E-16</v>
      </c>
      <c r="V663">
        <v>1</v>
      </c>
      <c r="W663">
        <v>0.22500000000000001</v>
      </c>
      <c r="X663">
        <f t="shared" si="176"/>
        <v>177.75000000000003</v>
      </c>
      <c r="Y663">
        <f t="shared" si="177"/>
        <v>177.75000000000003</v>
      </c>
      <c r="Z663">
        <f t="shared" si="178"/>
        <v>0</v>
      </c>
      <c r="AB663" t="s">
        <v>934</v>
      </c>
    </row>
    <row r="664" spans="1:28" x14ac:dyDescent="0.25">
      <c r="A664" t="s">
        <v>933</v>
      </c>
      <c r="B664" t="s">
        <v>386</v>
      </c>
      <c r="C664" t="s">
        <v>948</v>
      </c>
      <c r="D664" t="s">
        <v>949</v>
      </c>
      <c r="E664" t="s">
        <v>417</v>
      </c>
      <c r="F664">
        <v>2480</v>
      </c>
      <c r="G664">
        <v>2480</v>
      </c>
      <c r="H664">
        <v>1</v>
      </c>
      <c r="I664">
        <f t="shared" si="169"/>
        <v>0</v>
      </c>
      <c r="J664">
        <v>0.4</v>
      </c>
      <c r="K664">
        <f t="shared" si="170"/>
        <v>992</v>
      </c>
      <c r="L664" t="s">
        <v>37</v>
      </c>
      <c r="N664">
        <f t="shared" si="168"/>
        <v>295.06048000000004</v>
      </c>
      <c r="O664">
        <f t="shared" si="171"/>
        <v>8.9319506172839375E-2</v>
      </c>
      <c r="P664" t="s">
        <v>39</v>
      </c>
      <c r="Q664">
        <f t="shared" si="172"/>
        <v>0.58064516129032262</v>
      </c>
      <c r="R664">
        <f t="shared" si="173"/>
        <v>1440</v>
      </c>
      <c r="S664">
        <f t="shared" si="174"/>
        <v>1440</v>
      </c>
      <c r="T664">
        <v>1440</v>
      </c>
      <c r="U664">
        <f t="shared" si="175"/>
        <v>0</v>
      </c>
      <c r="V664">
        <v>1</v>
      </c>
      <c r="W664">
        <v>0.22500000000000001</v>
      </c>
      <c r="X664">
        <f t="shared" si="176"/>
        <v>324</v>
      </c>
      <c r="Y664">
        <f t="shared" si="177"/>
        <v>324</v>
      </c>
      <c r="Z664">
        <f t="shared" si="178"/>
        <v>0</v>
      </c>
      <c r="AB664" t="s">
        <v>934</v>
      </c>
    </row>
    <row r="665" spans="1:28" x14ac:dyDescent="0.25">
      <c r="A665" t="s">
        <v>933</v>
      </c>
      <c r="B665" t="s">
        <v>342</v>
      </c>
      <c r="D665" t="s">
        <v>950</v>
      </c>
      <c r="E665" t="s">
        <v>417</v>
      </c>
      <c r="F665">
        <v>40400</v>
      </c>
      <c r="G665">
        <v>40400</v>
      </c>
      <c r="H665">
        <v>1</v>
      </c>
      <c r="I665">
        <f t="shared" si="169"/>
        <v>0</v>
      </c>
      <c r="J665">
        <v>0.4</v>
      </c>
      <c r="K665">
        <f t="shared" si="170"/>
        <v>16160</v>
      </c>
      <c r="L665" t="s">
        <v>37</v>
      </c>
      <c r="N665">
        <f t="shared" si="168"/>
        <v>4806.6304</v>
      </c>
      <c r="O665">
        <f t="shared" si="171"/>
        <v>6.4675929169098881E-2</v>
      </c>
      <c r="P665" t="s">
        <v>39</v>
      </c>
      <c r="Q665">
        <f t="shared" si="172"/>
        <v>0.56534653465346529</v>
      </c>
      <c r="R665">
        <f t="shared" si="173"/>
        <v>22839.999999999996</v>
      </c>
      <c r="S665">
        <f t="shared" si="174"/>
        <v>22839.999999999996</v>
      </c>
      <c r="T665">
        <v>22840</v>
      </c>
      <c r="U665">
        <f t="shared" si="175"/>
        <v>1.5928103358545156E-16</v>
      </c>
      <c r="V665">
        <v>1</v>
      </c>
      <c r="W665">
        <v>0.22500000000000001</v>
      </c>
      <c r="X665">
        <f t="shared" si="176"/>
        <v>5138.9999999999991</v>
      </c>
      <c r="Y665">
        <f t="shared" si="177"/>
        <v>5138.9999999999991</v>
      </c>
      <c r="Z665">
        <f t="shared" si="178"/>
        <v>0</v>
      </c>
      <c r="AB665" t="s">
        <v>934</v>
      </c>
    </row>
    <row r="666" spans="1:28" x14ac:dyDescent="0.25">
      <c r="A666" t="s">
        <v>933</v>
      </c>
      <c r="B666" t="s">
        <v>343</v>
      </c>
      <c r="D666" t="s">
        <v>951</v>
      </c>
      <c r="E666" t="s">
        <v>417</v>
      </c>
      <c r="F666">
        <v>45500</v>
      </c>
      <c r="G666">
        <v>45500</v>
      </c>
      <c r="H666">
        <v>1</v>
      </c>
      <c r="I666">
        <f t="shared" si="169"/>
        <v>0</v>
      </c>
      <c r="J666">
        <v>0.4</v>
      </c>
      <c r="K666">
        <f t="shared" si="170"/>
        <v>18200</v>
      </c>
      <c r="L666" t="s">
        <v>37</v>
      </c>
      <c r="N666">
        <f t="shared" si="168"/>
        <v>5413.4080000000013</v>
      </c>
      <c r="O666">
        <f t="shared" si="171"/>
        <v>6.4920671935051813E-2</v>
      </c>
      <c r="P666" t="s">
        <v>39</v>
      </c>
      <c r="Q666">
        <f t="shared" si="172"/>
        <v>0.56549450549450553</v>
      </c>
      <c r="R666">
        <f t="shared" si="173"/>
        <v>25730</v>
      </c>
      <c r="S666">
        <f t="shared" si="174"/>
        <v>25730</v>
      </c>
      <c r="T666">
        <v>25730</v>
      </c>
      <c r="U666">
        <f t="shared" si="175"/>
        <v>0</v>
      </c>
      <c r="V666">
        <v>1</v>
      </c>
      <c r="W666">
        <v>0.22500000000000001</v>
      </c>
      <c r="X666">
        <f t="shared" si="176"/>
        <v>5789.25</v>
      </c>
      <c r="Y666">
        <f t="shared" si="177"/>
        <v>5789.25</v>
      </c>
      <c r="Z666">
        <f t="shared" si="178"/>
        <v>0</v>
      </c>
      <c r="AB666" t="s">
        <v>934</v>
      </c>
    </row>
    <row r="667" spans="1:28" x14ac:dyDescent="0.25">
      <c r="A667" t="s">
        <v>933</v>
      </c>
      <c r="B667" t="s">
        <v>663</v>
      </c>
      <c r="C667" t="s">
        <v>952</v>
      </c>
      <c r="D667" t="s">
        <v>953</v>
      </c>
      <c r="E667" t="s">
        <v>417</v>
      </c>
      <c r="F667">
        <v>1720</v>
      </c>
      <c r="G667">
        <v>1720</v>
      </c>
      <c r="H667">
        <v>1</v>
      </c>
      <c r="I667">
        <f t="shared" si="169"/>
        <v>0</v>
      </c>
      <c r="J667">
        <v>0.4</v>
      </c>
      <c r="K667">
        <f t="shared" si="170"/>
        <v>688</v>
      </c>
      <c r="L667" t="s">
        <v>37</v>
      </c>
      <c r="N667">
        <f t="shared" si="168"/>
        <v>204.63872000000003</v>
      </c>
      <c r="O667">
        <f t="shared" si="171"/>
        <v>9.9499581958195776E-2</v>
      </c>
      <c r="P667" t="s">
        <v>39</v>
      </c>
      <c r="Q667">
        <f t="shared" si="172"/>
        <v>0.58720930232558144</v>
      </c>
      <c r="R667">
        <f t="shared" si="173"/>
        <v>1010.0000000000001</v>
      </c>
      <c r="S667">
        <f t="shared" si="174"/>
        <v>1010.0000000000001</v>
      </c>
      <c r="T667">
        <v>1010</v>
      </c>
      <c r="U667">
        <f t="shared" si="175"/>
        <v>-1.1256122546694654E-16</v>
      </c>
      <c r="V667">
        <v>1</v>
      </c>
      <c r="W667">
        <v>0.22500000000000001</v>
      </c>
      <c r="X667">
        <f t="shared" si="176"/>
        <v>227.25000000000003</v>
      </c>
      <c r="Y667">
        <f t="shared" si="177"/>
        <v>227.25000000000003</v>
      </c>
      <c r="Z667">
        <f t="shared" si="178"/>
        <v>0</v>
      </c>
      <c r="AB667" t="s">
        <v>934</v>
      </c>
    </row>
    <row r="668" spans="1:28" x14ac:dyDescent="0.25">
      <c r="A668" t="s">
        <v>933</v>
      </c>
      <c r="B668" t="s">
        <v>387</v>
      </c>
      <c r="C668" t="s">
        <v>954</v>
      </c>
      <c r="D668" t="s">
        <v>955</v>
      </c>
      <c r="E668" t="s">
        <v>417</v>
      </c>
      <c r="F668">
        <v>5100</v>
      </c>
      <c r="G668">
        <v>5100</v>
      </c>
      <c r="H668">
        <v>1</v>
      </c>
      <c r="I668">
        <f t="shared" si="169"/>
        <v>0</v>
      </c>
      <c r="J668">
        <v>0.4</v>
      </c>
      <c r="K668">
        <f t="shared" si="170"/>
        <v>2040</v>
      </c>
      <c r="L668" t="s">
        <v>37</v>
      </c>
      <c r="N668">
        <f t="shared" si="168"/>
        <v>606.77760000000012</v>
      </c>
      <c r="O668">
        <f t="shared" si="171"/>
        <v>9.1990123456789946E-2</v>
      </c>
      <c r="P668" t="s">
        <v>39</v>
      </c>
      <c r="Q668">
        <f t="shared" si="172"/>
        <v>0.58235294117647063</v>
      </c>
      <c r="R668">
        <f t="shared" si="173"/>
        <v>2970</v>
      </c>
      <c r="S668">
        <f t="shared" si="174"/>
        <v>2970</v>
      </c>
      <c r="T668">
        <v>2970</v>
      </c>
      <c r="U668">
        <f t="shared" si="175"/>
        <v>0</v>
      </c>
      <c r="V668">
        <v>1</v>
      </c>
      <c r="W668">
        <v>0.22500000000000001</v>
      </c>
      <c r="X668">
        <f t="shared" si="176"/>
        <v>668.25</v>
      </c>
      <c r="Y668">
        <f t="shared" si="177"/>
        <v>668.25</v>
      </c>
      <c r="Z668">
        <f t="shared" si="178"/>
        <v>0</v>
      </c>
      <c r="AB668" t="s">
        <v>934</v>
      </c>
    </row>
    <row r="669" spans="1:28" x14ac:dyDescent="0.25">
      <c r="A669" t="s">
        <v>933</v>
      </c>
      <c r="B669" t="s">
        <v>344</v>
      </c>
      <c r="D669" t="s">
        <v>956</v>
      </c>
      <c r="E669" t="s">
        <v>417</v>
      </c>
      <c r="F669">
        <v>69000</v>
      </c>
      <c r="G669">
        <v>69000</v>
      </c>
      <c r="H669">
        <v>1</v>
      </c>
      <c r="I669">
        <f t="shared" si="169"/>
        <v>0</v>
      </c>
      <c r="J669">
        <v>0.4</v>
      </c>
      <c r="K669">
        <f t="shared" si="170"/>
        <v>27600</v>
      </c>
      <c r="L669" t="s">
        <v>37</v>
      </c>
      <c r="N669">
        <f t="shared" si="168"/>
        <v>8209.344000000001</v>
      </c>
      <c r="O669">
        <f t="shared" si="171"/>
        <v>6.8997873607212615E-2</v>
      </c>
      <c r="P669" t="s">
        <v>39</v>
      </c>
      <c r="Q669">
        <f t="shared" si="172"/>
        <v>0.56797101449275367</v>
      </c>
      <c r="R669">
        <f t="shared" si="173"/>
        <v>39190</v>
      </c>
      <c r="S669">
        <f t="shared" si="174"/>
        <v>39190</v>
      </c>
      <c r="T669">
        <v>39190</v>
      </c>
      <c r="U669">
        <f t="shared" si="175"/>
        <v>0</v>
      </c>
      <c r="V669">
        <v>1</v>
      </c>
      <c r="W669">
        <v>0.22500000000000001</v>
      </c>
      <c r="X669">
        <f t="shared" si="176"/>
        <v>8817.75</v>
      </c>
      <c r="Y669">
        <f t="shared" si="177"/>
        <v>8817.75</v>
      </c>
      <c r="Z669">
        <f t="shared" si="178"/>
        <v>0</v>
      </c>
      <c r="AB669" t="s">
        <v>934</v>
      </c>
    </row>
    <row r="670" spans="1:28" x14ac:dyDescent="0.25">
      <c r="A670" t="s">
        <v>933</v>
      </c>
      <c r="B670" t="s">
        <v>345</v>
      </c>
      <c r="D670" t="s">
        <v>957</v>
      </c>
      <c r="E670" t="s">
        <v>417</v>
      </c>
      <c r="F670">
        <v>75440</v>
      </c>
      <c r="G670">
        <v>75440</v>
      </c>
      <c r="H670">
        <v>1</v>
      </c>
      <c r="I670">
        <f t="shared" si="169"/>
        <v>0</v>
      </c>
      <c r="J670">
        <v>0.4</v>
      </c>
      <c r="K670">
        <f t="shared" si="170"/>
        <v>30176</v>
      </c>
      <c r="L670" t="s">
        <v>37</v>
      </c>
      <c r="N670">
        <f t="shared" si="168"/>
        <v>8975.5494400000007</v>
      </c>
      <c r="O670">
        <f t="shared" si="171"/>
        <v>6.7523823178016473E-2</v>
      </c>
      <c r="P670" t="s">
        <v>39</v>
      </c>
      <c r="Q670">
        <f t="shared" si="172"/>
        <v>0.56707317073170727</v>
      </c>
      <c r="R670">
        <f t="shared" si="173"/>
        <v>42779.999999999993</v>
      </c>
      <c r="S670">
        <f t="shared" si="174"/>
        <v>42779.999999999993</v>
      </c>
      <c r="T670">
        <v>42780</v>
      </c>
      <c r="U670">
        <f t="shared" si="175"/>
        <v>1.700784856050357E-16</v>
      </c>
      <c r="V670">
        <v>1</v>
      </c>
      <c r="W670">
        <v>0.22500000000000001</v>
      </c>
      <c r="X670">
        <f t="shared" si="176"/>
        <v>9625.4999999999982</v>
      </c>
      <c r="Y670">
        <f t="shared" si="177"/>
        <v>9625.4999999999982</v>
      </c>
      <c r="Z670">
        <f t="shared" si="178"/>
        <v>0</v>
      </c>
      <c r="AB670" t="s">
        <v>934</v>
      </c>
    </row>
    <row r="671" spans="1:28" x14ac:dyDescent="0.25">
      <c r="A671" t="s">
        <v>933</v>
      </c>
      <c r="B671" t="s">
        <v>665</v>
      </c>
      <c r="C671" t="s">
        <v>958</v>
      </c>
      <c r="D671" t="s">
        <v>959</v>
      </c>
      <c r="E671" t="s">
        <v>417</v>
      </c>
      <c r="F671">
        <v>2720</v>
      </c>
      <c r="G671">
        <v>2720</v>
      </c>
      <c r="H671">
        <v>1</v>
      </c>
      <c r="I671">
        <f t="shared" si="169"/>
        <v>0</v>
      </c>
      <c r="J671">
        <v>0.4</v>
      </c>
      <c r="K671">
        <f t="shared" si="170"/>
        <v>1088</v>
      </c>
      <c r="L671" t="s">
        <v>37</v>
      </c>
      <c r="N671">
        <f t="shared" si="168"/>
        <v>323.61472000000003</v>
      </c>
      <c r="O671">
        <f t="shared" si="171"/>
        <v>9.5416575821104022E-2</v>
      </c>
      <c r="P671" t="s">
        <v>39</v>
      </c>
      <c r="Q671">
        <f t="shared" si="172"/>
        <v>0.5845588235294118</v>
      </c>
      <c r="R671">
        <f t="shared" si="173"/>
        <v>1590</v>
      </c>
      <c r="S671">
        <f t="shared" si="174"/>
        <v>1590</v>
      </c>
      <c r="T671">
        <v>1590</v>
      </c>
      <c r="U671">
        <f t="shared" si="175"/>
        <v>0</v>
      </c>
      <c r="V671">
        <v>1</v>
      </c>
      <c r="W671">
        <v>0.22500000000000001</v>
      </c>
      <c r="X671">
        <f t="shared" si="176"/>
        <v>357.75</v>
      </c>
      <c r="Y671">
        <f t="shared" si="177"/>
        <v>357.75</v>
      </c>
      <c r="Z671">
        <f t="shared" si="178"/>
        <v>0</v>
      </c>
      <c r="AB671" t="s">
        <v>934</v>
      </c>
    </row>
    <row r="672" spans="1:28" x14ac:dyDescent="0.25">
      <c r="A672" t="s">
        <v>933</v>
      </c>
      <c r="B672" t="s">
        <v>388</v>
      </c>
      <c r="C672" t="s">
        <v>960</v>
      </c>
      <c r="D672" t="s">
        <v>961</v>
      </c>
      <c r="E672" t="s">
        <v>417</v>
      </c>
      <c r="F672">
        <v>6440</v>
      </c>
      <c r="G672">
        <v>6440</v>
      </c>
      <c r="H672">
        <v>1</v>
      </c>
      <c r="I672">
        <f t="shared" si="169"/>
        <v>0</v>
      </c>
      <c r="J672">
        <v>0.4</v>
      </c>
      <c r="K672">
        <f t="shared" si="170"/>
        <v>2576</v>
      </c>
      <c r="L672" t="s">
        <v>37</v>
      </c>
      <c r="N672">
        <f t="shared" si="168"/>
        <v>766.20544000000018</v>
      </c>
      <c r="O672">
        <f t="shared" si="171"/>
        <v>7.2109669996972228E-2</v>
      </c>
      <c r="P672" t="s">
        <v>39</v>
      </c>
      <c r="Q672">
        <f t="shared" si="172"/>
        <v>0.56987577639751552</v>
      </c>
      <c r="R672">
        <f t="shared" si="173"/>
        <v>3670</v>
      </c>
      <c r="S672">
        <f t="shared" si="174"/>
        <v>3670</v>
      </c>
      <c r="T672">
        <v>3670</v>
      </c>
      <c r="U672">
        <f t="shared" si="175"/>
        <v>0</v>
      </c>
      <c r="V672">
        <v>1</v>
      </c>
      <c r="W672">
        <v>0.22500000000000001</v>
      </c>
      <c r="X672">
        <f t="shared" si="176"/>
        <v>825.75</v>
      </c>
      <c r="Y672">
        <f t="shared" si="177"/>
        <v>825.75</v>
      </c>
      <c r="Z672">
        <f t="shared" si="178"/>
        <v>0</v>
      </c>
      <c r="AB672" t="s">
        <v>934</v>
      </c>
    </row>
    <row r="673" spans="1:28" x14ac:dyDescent="0.25">
      <c r="A673" t="s">
        <v>933</v>
      </c>
      <c r="B673" t="s">
        <v>596</v>
      </c>
      <c r="D673" t="s">
        <v>962</v>
      </c>
      <c r="E673" t="s">
        <v>417</v>
      </c>
      <c r="F673">
        <v>120800</v>
      </c>
      <c r="G673">
        <v>120800</v>
      </c>
      <c r="H673">
        <v>1</v>
      </c>
      <c r="I673">
        <f t="shared" si="169"/>
        <v>0</v>
      </c>
      <c r="J673">
        <v>0.4</v>
      </c>
      <c r="K673">
        <f t="shared" si="170"/>
        <v>48320</v>
      </c>
      <c r="L673" t="s">
        <v>37</v>
      </c>
      <c r="N673">
        <f t="shared" si="168"/>
        <v>14372.300800000003</v>
      </c>
      <c r="O673">
        <f t="shared" si="171"/>
        <v>7.2231046558540943E-2</v>
      </c>
      <c r="P673" t="s">
        <v>39</v>
      </c>
      <c r="Q673">
        <f t="shared" si="172"/>
        <v>0.56995033112582782</v>
      </c>
      <c r="R673">
        <f t="shared" si="173"/>
        <v>68850</v>
      </c>
      <c r="S673">
        <f t="shared" si="174"/>
        <v>68850</v>
      </c>
      <c r="T673">
        <v>68850</v>
      </c>
      <c r="U673">
        <f t="shared" si="175"/>
        <v>0</v>
      </c>
      <c r="V673">
        <v>1</v>
      </c>
      <c r="W673">
        <v>0.22500000000000001</v>
      </c>
      <c r="X673">
        <f t="shared" si="176"/>
        <v>15491.25</v>
      </c>
      <c r="Y673">
        <f t="shared" si="177"/>
        <v>15491.25</v>
      </c>
      <c r="Z673">
        <f t="shared" si="178"/>
        <v>0</v>
      </c>
      <c r="AB673" t="s">
        <v>934</v>
      </c>
    </row>
    <row r="674" spans="1:28" x14ac:dyDescent="0.25">
      <c r="A674" t="s">
        <v>933</v>
      </c>
      <c r="B674" t="s">
        <v>598</v>
      </c>
      <c r="D674" t="s">
        <v>963</v>
      </c>
      <c r="E674" t="s">
        <v>417</v>
      </c>
      <c r="F674">
        <v>132560</v>
      </c>
      <c r="G674">
        <v>132560</v>
      </c>
      <c r="H674">
        <v>1</v>
      </c>
      <c r="I674">
        <f t="shared" si="169"/>
        <v>0</v>
      </c>
      <c r="J674">
        <v>0.4</v>
      </c>
      <c r="K674">
        <f t="shared" si="170"/>
        <v>53024</v>
      </c>
      <c r="L674" t="s">
        <v>37</v>
      </c>
      <c r="N674">
        <f t="shared" ref="N674:N706" si="179">K674*$N$2*$O$2</f>
        <v>15771.458560000003</v>
      </c>
      <c r="O674">
        <f t="shared" si="171"/>
        <v>7.0969232898902709E-2</v>
      </c>
      <c r="P674" t="s">
        <v>39</v>
      </c>
      <c r="Q674">
        <f t="shared" si="172"/>
        <v>0.56917622208811103</v>
      </c>
      <c r="R674">
        <f t="shared" si="173"/>
        <v>75450</v>
      </c>
      <c r="S674">
        <f t="shared" si="174"/>
        <v>75450</v>
      </c>
      <c r="T674">
        <v>75450</v>
      </c>
      <c r="U674">
        <f t="shared" si="175"/>
        <v>0</v>
      </c>
      <c r="V674">
        <v>1</v>
      </c>
      <c r="W674">
        <v>0.22500000000000001</v>
      </c>
      <c r="X674">
        <f t="shared" si="176"/>
        <v>16976.25</v>
      </c>
      <c r="Y674">
        <f t="shared" si="177"/>
        <v>16976.25</v>
      </c>
      <c r="Z674">
        <f t="shared" si="178"/>
        <v>0</v>
      </c>
      <c r="AB674" t="s">
        <v>934</v>
      </c>
    </row>
    <row r="675" spans="1:28" x14ac:dyDescent="0.25">
      <c r="A675" t="s">
        <v>933</v>
      </c>
      <c r="B675" t="s">
        <v>964</v>
      </c>
      <c r="C675" t="s">
        <v>965</v>
      </c>
      <c r="D675" t="s">
        <v>966</v>
      </c>
      <c r="E675" t="s">
        <v>417</v>
      </c>
      <c r="F675">
        <v>4800</v>
      </c>
      <c r="G675">
        <v>4800</v>
      </c>
      <c r="H675">
        <v>1</v>
      </c>
      <c r="I675">
        <f t="shared" si="169"/>
        <v>0</v>
      </c>
      <c r="J675">
        <v>0.4</v>
      </c>
      <c r="K675">
        <f t="shared" si="170"/>
        <v>1920</v>
      </c>
      <c r="L675" t="s">
        <v>37</v>
      </c>
      <c r="N675">
        <f t="shared" si="179"/>
        <v>571.08480000000009</v>
      </c>
      <c r="O675">
        <f t="shared" si="171"/>
        <v>9.0267144563918614E-2</v>
      </c>
      <c r="P675" t="s">
        <v>39</v>
      </c>
      <c r="Q675">
        <f t="shared" si="172"/>
        <v>0.58125000000000004</v>
      </c>
      <c r="R675">
        <f t="shared" si="173"/>
        <v>2790</v>
      </c>
      <c r="S675">
        <f t="shared" si="174"/>
        <v>2790</v>
      </c>
      <c r="T675">
        <v>2790</v>
      </c>
      <c r="U675">
        <f t="shared" si="175"/>
        <v>0</v>
      </c>
      <c r="V675">
        <v>1</v>
      </c>
      <c r="W675">
        <v>0.22500000000000001</v>
      </c>
      <c r="X675">
        <f t="shared" si="176"/>
        <v>627.75</v>
      </c>
      <c r="Y675">
        <f t="shared" si="177"/>
        <v>627.75</v>
      </c>
      <c r="Z675">
        <f t="shared" si="178"/>
        <v>0</v>
      </c>
      <c r="AB675" t="s">
        <v>934</v>
      </c>
    </row>
    <row r="676" spans="1:28" x14ac:dyDescent="0.25">
      <c r="A676" t="s">
        <v>933</v>
      </c>
      <c r="B676" t="s">
        <v>389</v>
      </c>
      <c r="C676" t="s">
        <v>967</v>
      </c>
      <c r="D676" t="s">
        <v>968</v>
      </c>
      <c r="E676" t="s">
        <v>417</v>
      </c>
      <c r="F676">
        <v>11760</v>
      </c>
      <c r="G676">
        <v>11760</v>
      </c>
      <c r="H676">
        <v>1</v>
      </c>
      <c r="I676">
        <f t="shared" si="169"/>
        <v>0</v>
      </c>
      <c r="J676">
        <v>0.4</v>
      </c>
      <c r="K676">
        <f t="shared" si="170"/>
        <v>4704</v>
      </c>
      <c r="L676" t="s">
        <v>37</v>
      </c>
      <c r="N676">
        <f t="shared" si="179"/>
        <v>1399.1577600000001</v>
      </c>
      <c r="O676">
        <f t="shared" si="171"/>
        <v>7.7377012858555846E-2</v>
      </c>
      <c r="P676" t="s">
        <v>39</v>
      </c>
      <c r="Q676">
        <f t="shared" si="172"/>
        <v>0.5731292517006803</v>
      </c>
      <c r="R676">
        <f t="shared" si="173"/>
        <v>6740</v>
      </c>
      <c r="S676">
        <f t="shared" si="174"/>
        <v>6740</v>
      </c>
      <c r="T676">
        <v>6740</v>
      </c>
      <c r="U676">
        <f t="shared" si="175"/>
        <v>0</v>
      </c>
      <c r="V676">
        <v>1</v>
      </c>
      <c r="W676">
        <v>0.22500000000000001</v>
      </c>
      <c r="X676">
        <f t="shared" si="176"/>
        <v>1516.5</v>
      </c>
      <c r="Y676">
        <f t="shared" si="177"/>
        <v>1516.5</v>
      </c>
      <c r="Z676">
        <f t="shared" si="178"/>
        <v>0</v>
      </c>
      <c r="AB676" t="s">
        <v>934</v>
      </c>
    </row>
    <row r="677" spans="1:28" x14ac:dyDescent="0.25">
      <c r="A677" t="s">
        <v>969</v>
      </c>
      <c r="B677" t="s">
        <v>347</v>
      </c>
      <c r="D677" t="s">
        <v>970</v>
      </c>
      <c r="E677" t="s">
        <v>417</v>
      </c>
      <c r="F677">
        <v>1190</v>
      </c>
      <c r="G677">
        <v>1190</v>
      </c>
      <c r="H677">
        <v>1</v>
      </c>
      <c r="I677">
        <f t="shared" si="169"/>
        <v>0</v>
      </c>
      <c r="J677">
        <v>1</v>
      </c>
      <c r="K677">
        <f t="shared" si="170"/>
        <v>1190</v>
      </c>
      <c r="L677" t="s">
        <v>37</v>
      </c>
      <c r="N677">
        <f t="shared" si="179"/>
        <v>353.95360000000005</v>
      </c>
      <c r="O677">
        <f t="shared" si="171"/>
        <v>7.4631111111110982E-2</v>
      </c>
      <c r="P677" t="s">
        <v>39</v>
      </c>
      <c r="Q677">
        <f t="shared" si="172"/>
        <v>1.4285714285714286</v>
      </c>
      <c r="R677">
        <f t="shared" si="173"/>
        <v>1700</v>
      </c>
      <c r="S677">
        <f t="shared" si="174"/>
        <v>1700</v>
      </c>
      <c r="T677">
        <v>1700</v>
      </c>
      <c r="U677">
        <f t="shared" si="175"/>
        <v>0</v>
      </c>
      <c r="V677">
        <v>1</v>
      </c>
      <c r="W677">
        <v>0.22500000000000001</v>
      </c>
      <c r="X677">
        <f t="shared" si="176"/>
        <v>382.5</v>
      </c>
      <c r="Y677">
        <f t="shared" si="177"/>
        <v>382.5</v>
      </c>
      <c r="Z677">
        <f t="shared" si="178"/>
        <v>0</v>
      </c>
      <c r="AB677" t="s">
        <v>40</v>
      </c>
    </row>
    <row r="678" spans="1:28" x14ac:dyDescent="0.25">
      <c r="A678" t="s">
        <v>969</v>
      </c>
      <c r="B678" t="s">
        <v>348</v>
      </c>
      <c r="D678" t="s">
        <v>971</v>
      </c>
      <c r="E678" t="s">
        <v>417</v>
      </c>
      <c r="F678">
        <v>1430</v>
      </c>
      <c r="G678">
        <v>1430</v>
      </c>
      <c r="H678">
        <v>1</v>
      </c>
      <c r="I678">
        <f t="shared" ref="I678:I706" si="180">(G678-F678)/F678</f>
        <v>0</v>
      </c>
      <c r="J678">
        <v>1</v>
      </c>
      <c r="K678">
        <f t="shared" ref="K678:K706" si="181">F678*H678*J678</f>
        <v>1430</v>
      </c>
      <c r="L678" t="s">
        <v>37</v>
      </c>
      <c r="N678">
        <f t="shared" si="179"/>
        <v>425.33920000000001</v>
      </c>
      <c r="O678">
        <f t="shared" ref="O678:O706" si="182">(X678-N678)/X678</f>
        <v>6.8770224411603714E-2</v>
      </c>
      <c r="P678" t="s">
        <v>39</v>
      </c>
      <c r="Q678">
        <f t="shared" ref="Q678:Q706" si="183">T678/F678</f>
        <v>1.4195804195804196</v>
      </c>
      <c r="R678">
        <f t="shared" ref="R678:R706" si="184">F678*Q678</f>
        <v>2030</v>
      </c>
      <c r="S678">
        <f t="shared" ref="S678:S706" si="185">G678*Q678</f>
        <v>2030</v>
      </c>
      <c r="T678">
        <v>2030</v>
      </c>
      <c r="U678">
        <f t="shared" ref="U678:U706" si="186">(T678-R678)/R678</f>
        <v>0</v>
      </c>
      <c r="V678">
        <v>1</v>
      </c>
      <c r="W678">
        <v>0.22500000000000001</v>
      </c>
      <c r="X678">
        <f t="shared" ref="X678:X706" si="187">R678*V678*W678</f>
        <v>456.75</v>
      </c>
      <c r="Y678">
        <f t="shared" ref="Y678:Y706" si="188">S678*W678*V678</f>
        <v>456.75</v>
      </c>
      <c r="Z678">
        <f t="shared" ref="Z678:Z706" si="189">(Y678-X678)/X678</f>
        <v>0</v>
      </c>
      <c r="AB678" t="s">
        <v>40</v>
      </c>
    </row>
    <row r="679" spans="1:28" x14ac:dyDescent="0.25">
      <c r="A679" t="s">
        <v>969</v>
      </c>
      <c r="B679" t="s">
        <v>349</v>
      </c>
      <c r="D679" t="s">
        <v>972</v>
      </c>
      <c r="E679" t="s">
        <v>417</v>
      </c>
      <c r="F679">
        <v>1910</v>
      </c>
      <c r="G679">
        <v>1910</v>
      </c>
      <c r="H679">
        <v>1</v>
      </c>
      <c r="I679">
        <f t="shared" si="180"/>
        <v>0</v>
      </c>
      <c r="J679">
        <v>1</v>
      </c>
      <c r="K679">
        <f t="shared" si="181"/>
        <v>1910</v>
      </c>
      <c r="L679" t="s">
        <v>37</v>
      </c>
      <c r="N679">
        <f t="shared" si="179"/>
        <v>568.11040000000014</v>
      </c>
      <c r="O679">
        <f t="shared" si="182"/>
        <v>5.786003316749562E-2</v>
      </c>
      <c r="P679" t="s">
        <v>39</v>
      </c>
      <c r="Q679">
        <f t="shared" si="183"/>
        <v>1.4031413612565444</v>
      </c>
      <c r="R679">
        <f t="shared" si="184"/>
        <v>2680</v>
      </c>
      <c r="S679">
        <f t="shared" si="185"/>
        <v>2680</v>
      </c>
      <c r="T679">
        <v>2680</v>
      </c>
      <c r="U679">
        <f t="shared" si="186"/>
        <v>0</v>
      </c>
      <c r="V679">
        <v>1</v>
      </c>
      <c r="W679">
        <v>0.22500000000000001</v>
      </c>
      <c r="X679">
        <f t="shared" si="187"/>
        <v>603</v>
      </c>
      <c r="Y679">
        <f t="shared" si="188"/>
        <v>603</v>
      </c>
      <c r="Z679">
        <f t="shared" si="189"/>
        <v>0</v>
      </c>
      <c r="AB679" t="s">
        <v>40</v>
      </c>
    </row>
    <row r="680" spans="1:28" x14ac:dyDescent="0.25">
      <c r="A680" t="s">
        <v>969</v>
      </c>
      <c r="B680" t="s">
        <v>350</v>
      </c>
      <c r="D680" t="s">
        <v>973</v>
      </c>
      <c r="E680" t="s">
        <v>417</v>
      </c>
      <c r="F680">
        <v>2680</v>
      </c>
      <c r="G680">
        <v>2680</v>
      </c>
      <c r="H680">
        <v>1</v>
      </c>
      <c r="I680">
        <f t="shared" si="180"/>
        <v>0</v>
      </c>
      <c r="J680">
        <v>1</v>
      </c>
      <c r="K680">
        <f t="shared" si="181"/>
        <v>2680</v>
      </c>
      <c r="L680" t="s">
        <v>37</v>
      </c>
      <c r="N680">
        <f t="shared" si="179"/>
        <v>797.13920000000019</v>
      </c>
      <c r="O680">
        <f t="shared" si="182"/>
        <v>5.5242429629629407E-2</v>
      </c>
      <c r="P680" t="s">
        <v>39</v>
      </c>
      <c r="Q680">
        <f t="shared" si="183"/>
        <v>1.3992537313432836</v>
      </c>
      <c r="R680">
        <f t="shared" si="184"/>
        <v>3750</v>
      </c>
      <c r="S680">
        <f t="shared" si="185"/>
        <v>3750</v>
      </c>
      <c r="T680">
        <v>3750</v>
      </c>
      <c r="U680">
        <f t="shared" si="186"/>
        <v>0</v>
      </c>
      <c r="V680">
        <v>1</v>
      </c>
      <c r="W680">
        <v>0.22500000000000001</v>
      </c>
      <c r="X680">
        <f t="shared" si="187"/>
        <v>843.75</v>
      </c>
      <c r="Y680">
        <f t="shared" si="188"/>
        <v>843.75</v>
      </c>
      <c r="Z680">
        <f t="shared" si="189"/>
        <v>0</v>
      </c>
      <c r="AB680" t="s">
        <v>40</v>
      </c>
    </row>
    <row r="681" spans="1:28" x14ac:dyDescent="0.25">
      <c r="A681" t="s">
        <v>969</v>
      </c>
      <c r="B681" t="s">
        <v>351</v>
      </c>
      <c r="D681" t="s">
        <v>974</v>
      </c>
      <c r="E681" t="s">
        <v>417</v>
      </c>
      <c r="F681">
        <v>3180</v>
      </c>
      <c r="G681">
        <v>3180</v>
      </c>
      <c r="H681">
        <v>1</v>
      </c>
      <c r="I681">
        <f t="shared" si="180"/>
        <v>0</v>
      </c>
      <c r="J681">
        <v>1</v>
      </c>
      <c r="K681">
        <f t="shared" si="181"/>
        <v>3180</v>
      </c>
      <c r="L681" t="s">
        <v>37</v>
      </c>
      <c r="N681">
        <f t="shared" si="179"/>
        <v>945.85920000000021</v>
      </c>
      <c r="O681">
        <f t="shared" si="182"/>
        <v>5.7439760837070038E-2</v>
      </c>
      <c r="P681" t="s">
        <v>39</v>
      </c>
      <c r="Q681">
        <f t="shared" si="183"/>
        <v>1.4025157232704402</v>
      </c>
      <c r="R681">
        <f t="shared" si="184"/>
        <v>4460</v>
      </c>
      <c r="S681">
        <f t="shared" si="185"/>
        <v>4460</v>
      </c>
      <c r="T681">
        <v>4460</v>
      </c>
      <c r="U681">
        <f t="shared" si="186"/>
        <v>0</v>
      </c>
      <c r="V681">
        <v>1</v>
      </c>
      <c r="W681">
        <v>0.22500000000000001</v>
      </c>
      <c r="X681">
        <f t="shared" si="187"/>
        <v>1003.5</v>
      </c>
      <c r="Y681">
        <f t="shared" si="188"/>
        <v>1003.5</v>
      </c>
      <c r="Z681">
        <f t="shared" si="189"/>
        <v>0</v>
      </c>
      <c r="AB681" t="s">
        <v>40</v>
      </c>
    </row>
    <row r="682" spans="1:28" x14ac:dyDescent="0.25">
      <c r="A682" t="s">
        <v>969</v>
      </c>
      <c r="B682" t="s">
        <v>352</v>
      </c>
      <c r="D682" t="s">
        <v>975</v>
      </c>
      <c r="E682" t="s">
        <v>417</v>
      </c>
      <c r="F682">
        <v>3520</v>
      </c>
      <c r="G682">
        <v>3520</v>
      </c>
      <c r="H682">
        <v>1</v>
      </c>
      <c r="I682">
        <f t="shared" si="180"/>
        <v>0</v>
      </c>
      <c r="J682">
        <v>1</v>
      </c>
      <c r="K682">
        <f t="shared" si="181"/>
        <v>3520</v>
      </c>
      <c r="L682" t="s">
        <v>37</v>
      </c>
      <c r="N682">
        <f t="shared" si="179"/>
        <v>1046.9888000000001</v>
      </c>
      <c r="O682">
        <f t="shared" si="182"/>
        <v>5.9942716049382644E-2</v>
      </c>
      <c r="P682" t="s">
        <v>39</v>
      </c>
      <c r="Q682">
        <f t="shared" si="183"/>
        <v>1.40625</v>
      </c>
      <c r="R682">
        <f t="shared" si="184"/>
        <v>4950</v>
      </c>
      <c r="S682">
        <f t="shared" si="185"/>
        <v>4950</v>
      </c>
      <c r="T682">
        <v>4950</v>
      </c>
      <c r="U682">
        <f t="shared" si="186"/>
        <v>0</v>
      </c>
      <c r="V682">
        <v>1</v>
      </c>
      <c r="W682">
        <v>0.22500000000000001</v>
      </c>
      <c r="X682">
        <f t="shared" si="187"/>
        <v>1113.75</v>
      </c>
      <c r="Y682">
        <f t="shared" si="188"/>
        <v>1113.75</v>
      </c>
      <c r="Z682">
        <f t="shared" si="189"/>
        <v>0</v>
      </c>
      <c r="AB682" t="s">
        <v>40</v>
      </c>
    </row>
    <row r="683" spans="1:28" x14ac:dyDescent="0.25">
      <c r="A683" t="s">
        <v>969</v>
      </c>
      <c r="B683" t="s">
        <v>353</v>
      </c>
      <c r="D683" t="s">
        <v>976</v>
      </c>
      <c r="E683" t="s">
        <v>417</v>
      </c>
      <c r="F683">
        <v>3840</v>
      </c>
      <c r="G683">
        <v>3840</v>
      </c>
      <c r="H683">
        <v>1</v>
      </c>
      <c r="I683">
        <f t="shared" si="180"/>
        <v>0</v>
      </c>
      <c r="J683">
        <v>1</v>
      </c>
      <c r="K683">
        <f t="shared" si="181"/>
        <v>3840</v>
      </c>
      <c r="L683" t="s">
        <v>37</v>
      </c>
      <c r="N683">
        <f t="shared" si="179"/>
        <v>1142.1696000000002</v>
      </c>
      <c r="O683">
        <f t="shared" si="182"/>
        <v>5.6448079306071729E-2</v>
      </c>
      <c r="P683" t="s">
        <v>39</v>
      </c>
      <c r="Q683">
        <f t="shared" si="183"/>
        <v>1.4010416666666667</v>
      </c>
      <c r="R683">
        <f t="shared" si="184"/>
        <v>5380</v>
      </c>
      <c r="S683">
        <f t="shared" si="185"/>
        <v>5380</v>
      </c>
      <c r="T683">
        <v>5380</v>
      </c>
      <c r="U683">
        <f t="shared" si="186"/>
        <v>0</v>
      </c>
      <c r="V683">
        <v>1</v>
      </c>
      <c r="W683">
        <v>0.22500000000000001</v>
      </c>
      <c r="X683">
        <f t="shared" si="187"/>
        <v>1210.5</v>
      </c>
      <c r="Y683">
        <f t="shared" si="188"/>
        <v>1210.5</v>
      </c>
      <c r="Z683">
        <f t="shared" si="189"/>
        <v>0</v>
      </c>
      <c r="AB683" t="s">
        <v>40</v>
      </c>
    </row>
    <row r="684" spans="1:28" x14ac:dyDescent="0.25">
      <c r="A684" t="s">
        <v>969</v>
      </c>
      <c r="B684" t="s">
        <v>318</v>
      </c>
      <c r="D684" t="s">
        <v>977</v>
      </c>
      <c r="E684" t="s">
        <v>417</v>
      </c>
      <c r="F684">
        <v>6430</v>
      </c>
      <c r="G684">
        <v>6430</v>
      </c>
      <c r="H684">
        <v>1</v>
      </c>
      <c r="I684">
        <f t="shared" si="180"/>
        <v>0</v>
      </c>
      <c r="J684">
        <v>1</v>
      </c>
      <c r="K684">
        <f t="shared" si="181"/>
        <v>6430</v>
      </c>
      <c r="L684" t="s">
        <v>37</v>
      </c>
      <c r="N684">
        <f t="shared" si="179"/>
        <v>1912.5392000000004</v>
      </c>
      <c r="O684">
        <f t="shared" si="182"/>
        <v>5.5536197530864001E-2</v>
      </c>
      <c r="P684" t="s">
        <v>39</v>
      </c>
      <c r="Q684">
        <f t="shared" si="183"/>
        <v>1.3996889580093312</v>
      </c>
      <c r="R684">
        <f t="shared" si="184"/>
        <v>9000</v>
      </c>
      <c r="S684">
        <f t="shared" si="185"/>
        <v>9000</v>
      </c>
      <c r="T684">
        <v>9000</v>
      </c>
      <c r="U684">
        <f t="shared" si="186"/>
        <v>0</v>
      </c>
      <c r="V684">
        <v>1</v>
      </c>
      <c r="W684">
        <v>0.22500000000000001</v>
      </c>
      <c r="X684">
        <f t="shared" si="187"/>
        <v>2025</v>
      </c>
      <c r="Y684">
        <f t="shared" si="188"/>
        <v>2025</v>
      </c>
      <c r="Z684">
        <f t="shared" si="189"/>
        <v>0</v>
      </c>
      <c r="AB684" t="s">
        <v>40</v>
      </c>
    </row>
    <row r="685" spans="1:28" x14ac:dyDescent="0.25">
      <c r="A685" t="s">
        <v>969</v>
      </c>
      <c r="B685" t="s">
        <v>978</v>
      </c>
      <c r="D685" t="s">
        <v>979</v>
      </c>
      <c r="E685" t="s">
        <v>417</v>
      </c>
      <c r="F685">
        <v>8190</v>
      </c>
      <c r="G685">
        <v>8190</v>
      </c>
      <c r="H685">
        <v>1</v>
      </c>
      <c r="I685">
        <f t="shared" si="180"/>
        <v>0</v>
      </c>
      <c r="J685">
        <v>1</v>
      </c>
      <c r="K685">
        <f t="shared" si="181"/>
        <v>8190</v>
      </c>
      <c r="L685" t="s">
        <v>37</v>
      </c>
      <c r="N685">
        <f t="shared" si="179"/>
        <v>2436.0336000000002</v>
      </c>
      <c r="O685">
        <f t="shared" si="182"/>
        <v>5.6897560975609676E-2</v>
      </c>
      <c r="P685" t="s">
        <v>39</v>
      </c>
      <c r="Q685">
        <f t="shared" si="183"/>
        <v>1.4017094017094016</v>
      </c>
      <c r="R685">
        <f t="shared" si="184"/>
        <v>11480</v>
      </c>
      <c r="S685">
        <f t="shared" si="185"/>
        <v>11480</v>
      </c>
      <c r="T685">
        <v>11480</v>
      </c>
      <c r="U685">
        <f t="shared" si="186"/>
        <v>0</v>
      </c>
      <c r="V685">
        <v>1</v>
      </c>
      <c r="W685">
        <v>0.22500000000000001</v>
      </c>
      <c r="X685">
        <f t="shared" si="187"/>
        <v>2583</v>
      </c>
      <c r="Y685">
        <f t="shared" si="188"/>
        <v>2583</v>
      </c>
      <c r="Z685">
        <f t="shared" si="189"/>
        <v>0</v>
      </c>
      <c r="AB685" t="s">
        <v>40</v>
      </c>
    </row>
    <row r="686" spans="1:28" x14ac:dyDescent="0.25">
      <c r="A686" t="s">
        <v>969</v>
      </c>
      <c r="B686" t="s">
        <v>980</v>
      </c>
      <c r="D686" t="s">
        <v>981</v>
      </c>
      <c r="E686" t="s">
        <v>417</v>
      </c>
      <c r="F686">
        <v>14070</v>
      </c>
      <c r="G686">
        <v>14070</v>
      </c>
      <c r="H686">
        <v>1</v>
      </c>
      <c r="I686">
        <f t="shared" si="180"/>
        <v>0</v>
      </c>
      <c r="J686">
        <v>1</v>
      </c>
      <c r="K686">
        <f t="shared" si="181"/>
        <v>14070</v>
      </c>
      <c r="L686" t="s">
        <v>37</v>
      </c>
      <c r="N686">
        <f t="shared" si="179"/>
        <v>4184.9808000000003</v>
      </c>
      <c r="O686">
        <f t="shared" si="182"/>
        <v>5.536238361266288E-2</v>
      </c>
      <c r="P686" t="s">
        <v>39</v>
      </c>
      <c r="Q686">
        <f t="shared" si="183"/>
        <v>1.3994314143567874</v>
      </c>
      <c r="R686">
        <f t="shared" si="184"/>
        <v>19690</v>
      </c>
      <c r="S686">
        <f t="shared" si="185"/>
        <v>19690</v>
      </c>
      <c r="T686">
        <v>19690</v>
      </c>
      <c r="U686">
        <f t="shared" si="186"/>
        <v>0</v>
      </c>
      <c r="V686">
        <v>1</v>
      </c>
      <c r="W686">
        <v>0.22500000000000001</v>
      </c>
      <c r="X686">
        <f t="shared" si="187"/>
        <v>4430.25</v>
      </c>
      <c r="Y686">
        <f t="shared" si="188"/>
        <v>4430.25</v>
      </c>
      <c r="Z686">
        <f t="shared" si="189"/>
        <v>0</v>
      </c>
      <c r="AB686" t="s">
        <v>40</v>
      </c>
    </row>
    <row r="687" spans="1:28" x14ac:dyDescent="0.25">
      <c r="A687" t="s">
        <v>969</v>
      </c>
      <c r="B687" t="s">
        <v>354</v>
      </c>
      <c r="D687" t="s">
        <v>982</v>
      </c>
      <c r="E687" t="s">
        <v>417</v>
      </c>
      <c r="F687">
        <v>24020</v>
      </c>
      <c r="G687">
        <v>24020</v>
      </c>
      <c r="H687">
        <v>1</v>
      </c>
      <c r="I687">
        <f t="shared" si="180"/>
        <v>0</v>
      </c>
      <c r="J687">
        <v>1</v>
      </c>
      <c r="K687">
        <f t="shared" si="181"/>
        <v>24020</v>
      </c>
      <c r="L687" t="s">
        <v>37</v>
      </c>
      <c r="N687">
        <f t="shared" si="179"/>
        <v>7144.5088000000014</v>
      </c>
      <c r="O687">
        <f t="shared" si="182"/>
        <v>3.9720061341137133E-3</v>
      </c>
      <c r="P687" t="s">
        <v>39</v>
      </c>
      <c r="Q687">
        <f t="shared" si="183"/>
        <v>1.3272273105745211</v>
      </c>
      <c r="R687">
        <f t="shared" si="184"/>
        <v>31879.999999999996</v>
      </c>
      <c r="S687">
        <f t="shared" si="185"/>
        <v>31879.999999999996</v>
      </c>
      <c r="T687">
        <v>31880</v>
      </c>
      <c r="U687">
        <f t="shared" si="186"/>
        <v>1.1411476810199854E-16</v>
      </c>
      <c r="V687">
        <v>1</v>
      </c>
      <c r="W687">
        <v>0.22500000000000001</v>
      </c>
      <c r="X687">
        <f t="shared" si="187"/>
        <v>7172.9999999999991</v>
      </c>
      <c r="Y687">
        <f t="shared" si="188"/>
        <v>7172.9999999999991</v>
      </c>
      <c r="Z687">
        <f t="shared" si="189"/>
        <v>0</v>
      </c>
      <c r="AB687" t="s">
        <v>40</v>
      </c>
    </row>
    <row r="688" spans="1:28" x14ac:dyDescent="0.25">
      <c r="A688" t="s">
        <v>969</v>
      </c>
      <c r="B688" t="s">
        <v>355</v>
      </c>
      <c r="D688" t="s">
        <v>983</v>
      </c>
      <c r="E688" t="s">
        <v>417</v>
      </c>
      <c r="F688">
        <v>40330</v>
      </c>
      <c r="G688">
        <v>40330</v>
      </c>
      <c r="H688">
        <v>1</v>
      </c>
      <c r="I688">
        <f t="shared" si="180"/>
        <v>0</v>
      </c>
      <c r="J688">
        <v>1</v>
      </c>
      <c r="K688">
        <f t="shared" si="181"/>
        <v>40330</v>
      </c>
      <c r="L688" t="s">
        <v>37</v>
      </c>
      <c r="N688">
        <f t="shared" si="179"/>
        <v>11995.755200000001</v>
      </c>
      <c r="O688">
        <f t="shared" si="182"/>
        <v>-1.6869493716489988E-2</v>
      </c>
      <c r="P688" t="s">
        <v>39</v>
      </c>
      <c r="Q688">
        <f t="shared" si="183"/>
        <v>1.3000247954376394</v>
      </c>
      <c r="R688">
        <f t="shared" si="184"/>
        <v>52429.999999999993</v>
      </c>
      <c r="S688">
        <f t="shared" si="185"/>
        <v>52429.999999999993</v>
      </c>
      <c r="T688">
        <v>52430</v>
      </c>
      <c r="U688">
        <f t="shared" si="186"/>
        <v>1.3877470177729213E-16</v>
      </c>
      <c r="V688">
        <v>1</v>
      </c>
      <c r="W688">
        <v>0.22500000000000001</v>
      </c>
      <c r="X688">
        <f t="shared" si="187"/>
        <v>11796.749999999998</v>
      </c>
      <c r="Y688">
        <f t="shared" si="188"/>
        <v>11796.749999999998</v>
      </c>
      <c r="Z688">
        <f t="shared" si="189"/>
        <v>0</v>
      </c>
      <c r="AB688" t="s">
        <v>40</v>
      </c>
    </row>
    <row r="689" spans="1:28" x14ac:dyDescent="0.25">
      <c r="A689" t="s">
        <v>969</v>
      </c>
      <c r="B689" t="s">
        <v>356</v>
      </c>
      <c r="D689" t="s">
        <v>984</v>
      </c>
      <c r="E689" t="s">
        <v>417</v>
      </c>
      <c r="F689">
        <v>50960</v>
      </c>
      <c r="G689">
        <v>50960</v>
      </c>
      <c r="H689">
        <v>1</v>
      </c>
      <c r="I689">
        <f t="shared" si="180"/>
        <v>0</v>
      </c>
      <c r="J689">
        <v>1</v>
      </c>
      <c r="K689">
        <f t="shared" si="181"/>
        <v>50960</v>
      </c>
      <c r="L689" t="s">
        <v>37</v>
      </c>
      <c r="N689">
        <f t="shared" si="179"/>
        <v>15157.542400000002</v>
      </c>
      <c r="O689">
        <f t="shared" si="182"/>
        <v>5.4234801191757401E-2</v>
      </c>
      <c r="P689" t="s">
        <v>39</v>
      </c>
      <c r="Q689">
        <f t="shared" si="183"/>
        <v>1.3977629513343799</v>
      </c>
      <c r="R689">
        <f t="shared" si="184"/>
        <v>71230</v>
      </c>
      <c r="S689">
        <f t="shared" si="185"/>
        <v>71230</v>
      </c>
      <c r="T689">
        <v>71230</v>
      </c>
      <c r="U689">
        <f t="shared" si="186"/>
        <v>0</v>
      </c>
      <c r="V689">
        <v>1</v>
      </c>
      <c r="W689">
        <v>0.22500000000000001</v>
      </c>
      <c r="X689">
        <f t="shared" si="187"/>
        <v>16026.75</v>
      </c>
      <c r="Y689">
        <f t="shared" si="188"/>
        <v>16026.75</v>
      </c>
      <c r="Z689">
        <f t="shared" si="189"/>
        <v>0</v>
      </c>
      <c r="AB689" t="s">
        <v>40</v>
      </c>
    </row>
    <row r="690" spans="1:28" x14ac:dyDescent="0.25">
      <c r="A690" t="s">
        <v>969</v>
      </c>
      <c r="B690" t="s">
        <v>357</v>
      </c>
      <c r="D690" t="s">
        <v>985</v>
      </c>
      <c r="E690" t="s">
        <v>417</v>
      </c>
      <c r="F690">
        <v>75110</v>
      </c>
      <c r="G690">
        <v>75110</v>
      </c>
      <c r="H690">
        <v>1</v>
      </c>
      <c r="I690">
        <f t="shared" si="180"/>
        <v>0</v>
      </c>
      <c r="J690">
        <v>1</v>
      </c>
      <c r="K690">
        <f t="shared" si="181"/>
        <v>75110</v>
      </c>
      <c r="L690" t="s">
        <v>37</v>
      </c>
      <c r="N690">
        <f t="shared" si="179"/>
        <v>22340.718400000005</v>
      </c>
      <c r="O690">
        <f t="shared" si="182"/>
        <v>5.427105650273549E-2</v>
      </c>
      <c r="P690" t="s">
        <v>39</v>
      </c>
      <c r="Q690">
        <f t="shared" si="183"/>
        <v>1.3978165357475703</v>
      </c>
      <c r="R690">
        <f t="shared" si="184"/>
        <v>104990</v>
      </c>
      <c r="S690">
        <f t="shared" si="185"/>
        <v>104990</v>
      </c>
      <c r="T690">
        <v>104990</v>
      </c>
      <c r="U690">
        <f t="shared" si="186"/>
        <v>0</v>
      </c>
      <c r="V690">
        <v>1</v>
      </c>
      <c r="W690">
        <v>0.22500000000000001</v>
      </c>
      <c r="X690">
        <f t="shared" si="187"/>
        <v>23622.75</v>
      </c>
      <c r="Y690">
        <f t="shared" si="188"/>
        <v>23622.75</v>
      </c>
      <c r="Z690">
        <f t="shared" si="189"/>
        <v>0</v>
      </c>
      <c r="AB690" t="s">
        <v>40</v>
      </c>
    </row>
    <row r="691" spans="1:28" x14ac:dyDescent="0.25">
      <c r="A691" t="s">
        <v>969</v>
      </c>
      <c r="B691" t="s">
        <v>358</v>
      </c>
      <c r="D691" t="s">
        <v>986</v>
      </c>
      <c r="E691" t="s">
        <v>417</v>
      </c>
      <c r="F691">
        <v>92970</v>
      </c>
      <c r="G691">
        <v>92970</v>
      </c>
      <c r="H691">
        <v>1</v>
      </c>
      <c r="I691">
        <f t="shared" si="180"/>
        <v>0</v>
      </c>
      <c r="J691">
        <v>1</v>
      </c>
      <c r="K691">
        <f t="shared" si="181"/>
        <v>92970</v>
      </c>
      <c r="L691" t="s">
        <v>37</v>
      </c>
      <c r="N691">
        <f t="shared" si="179"/>
        <v>27652.996800000004</v>
      </c>
      <c r="O691">
        <f t="shared" si="182"/>
        <v>5.4380180041547897E-2</v>
      </c>
      <c r="P691" t="s">
        <v>39</v>
      </c>
      <c r="Q691">
        <f t="shared" si="183"/>
        <v>1.3979778423147251</v>
      </c>
      <c r="R691">
        <f t="shared" si="184"/>
        <v>129970</v>
      </c>
      <c r="S691">
        <f t="shared" si="185"/>
        <v>129970</v>
      </c>
      <c r="T691">
        <v>129970</v>
      </c>
      <c r="U691">
        <f t="shared" si="186"/>
        <v>0</v>
      </c>
      <c r="V691">
        <v>1</v>
      </c>
      <c r="W691">
        <v>0.22500000000000001</v>
      </c>
      <c r="X691">
        <f t="shared" si="187"/>
        <v>29243.25</v>
      </c>
      <c r="Y691">
        <f t="shared" si="188"/>
        <v>29243.25</v>
      </c>
      <c r="Z691">
        <f t="shared" si="189"/>
        <v>0</v>
      </c>
      <c r="AB691" t="s">
        <v>40</v>
      </c>
    </row>
    <row r="692" spans="1:28" x14ac:dyDescent="0.25">
      <c r="A692" t="s">
        <v>969</v>
      </c>
      <c r="B692" t="s">
        <v>987</v>
      </c>
      <c r="D692" t="s">
        <v>988</v>
      </c>
      <c r="E692" t="s">
        <v>417</v>
      </c>
      <c r="F692">
        <v>1540</v>
      </c>
      <c r="G692">
        <v>1540</v>
      </c>
      <c r="H692">
        <v>1</v>
      </c>
      <c r="I692">
        <f t="shared" si="180"/>
        <v>0</v>
      </c>
      <c r="J692">
        <v>1</v>
      </c>
      <c r="K692">
        <f t="shared" si="181"/>
        <v>1540</v>
      </c>
      <c r="L692" t="s">
        <v>37</v>
      </c>
      <c r="N692">
        <f t="shared" si="179"/>
        <v>458.05760000000009</v>
      </c>
      <c r="O692">
        <f t="shared" si="182"/>
        <v>3.9711530398322654E-2</v>
      </c>
      <c r="P692" t="s">
        <v>39</v>
      </c>
      <c r="Q692">
        <f t="shared" si="183"/>
        <v>1.3766233766233766</v>
      </c>
      <c r="R692">
        <f t="shared" si="184"/>
        <v>2120</v>
      </c>
      <c r="S692">
        <f t="shared" si="185"/>
        <v>2120</v>
      </c>
      <c r="T692">
        <v>2120</v>
      </c>
      <c r="U692">
        <f t="shared" si="186"/>
        <v>0</v>
      </c>
      <c r="V692">
        <v>1</v>
      </c>
      <c r="W692">
        <v>0.22500000000000001</v>
      </c>
      <c r="X692">
        <f t="shared" si="187"/>
        <v>477</v>
      </c>
      <c r="Y692">
        <f t="shared" si="188"/>
        <v>477</v>
      </c>
      <c r="Z692">
        <f t="shared" si="189"/>
        <v>0</v>
      </c>
      <c r="AB692" t="s">
        <v>40</v>
      </c>
    </row>
    <row r="693" spans="1:28" x14ac:dyDescent="0.25">
      <c r="A693" t="s">
        <v>969</v>
      </c>
      <c r="B693" t="s">
        <v>404</v>
      </c>
      <c r="D693" t="s">
        <v>989</v>
      </c>
      <c r="E693" t="s">
        <v>417</v>
      </c>
      <c r="F693">
        <v>1810</v>
      </c>
      <c r="G693">
        <v>1810</v>
      </c>
      <c r="H693">
        <v>1</v>
      </c>
      <c r="I693">
        <f t="shared" si="180"/>
        <v>0</v>
      </c>
      <c r="J693">
        <v>1</v>
      </c>
      <c r="K693">
        <f t="shared" si="181"/>
        <v>1810</v>
      </c>
      <c r="L693" t="s">
        <v>37</v>
      </c>
      <c r="N693">
        <f t="shared" si="179"/>
        <v>538.36640000000011</v>
      </c>
      <c r="O693">
        <f t="shared" si="182"/>
        <v>6.1670762527232921E-2</v>
      </c>
      <c r="P693" t="s">
        <v>39</v>
      </c>
      <c r="Q693">
        <f t="shared" si="183"/>
        <v>1.4088397790055249</v>
      </c>
      <c r="R693">
        <f t="shared" si="184"/>
        <v>2550</v>
      </c>
      <c r="S693">
        <f t="shared" si="185"/>
        <v>2550</v>
      </c>
      <c r="T693">
        <v>2550</v>
      </c>
      <c r="U693">
        <f t="shared" si="186"/>
        <v>0</v>
      </c>
      <c r="V693">
        <v>1</v>
      </c>
      <c r="W693">
        <v>0.22500000000000001</v>
      </c>
      <c r="X693">
        <f t="shared" si="187"/>
        <v>573.75</v>
      </c>
      <c r="Y693">
        <f t="shared" si="188"/>
        <v>573.75</v>
      </c>
      <c r="Z693">
        <f t="shared" si="189"/>
        <v>0</v>
      </c>
      <c r="AB693" t="s">
        <v>40</v>
      </c>
    </row>
    <row r="694" spans="1:28" x14ac:dyDescent="0.25">
      <c r="A694" t="s">
        <v>969</v>
      </c>
      <c r="B694" t="s">
        <v>405</v>
      </c>
      <c r="D694" t="s">
        <v>990</v>
      </c>
      <c r="E694" t="s">
        <v>417</v>
      </c>
      <c r="F694">
        <v>1970</v>
      </c>
      <c r="G694">
        <v>1970</v>
      </c>
      <c r="H694">
        <v>1</v>
      </c>
      <c r="I694">
        <f t="shared" si="180"/>
        <v>0</v>
      </c>
      <c r="J694">
        <v>1</v>
      </c>
      <c r="K694">
        <f t="shared" si="181"/>
        <v>1970</v>
      </c>
      <c r="L694" t="s">
        <v>37</v>
      </c>
      <c r="N694">
        <f t="shared" si="179"/>
        <v>585.95680000000004</v>
      </c>
      <c r="O694">
        <f t="shared" si="182"/>
        <v>6.6576184786937401E-2</v>
      </c>
      <c r="P694" t="s">
        <v>39</v>
      </c>
      <c r="Q694">
        <f t="shared" si="183"/>
        <v>1.4162436548223349</v>
      </c>
      <c r="R694">
        <f t="shared" si="184"/>
        <v>2790</v>
      </c>
      <c r="S694">
        <f t="shared" si="185"/>
        <v>2790</v>
      </c>
      <c r="T694">
        <v>2790</v>
      </c>
      <c r="U694">
        <f t="shared" si="186"/>
        <v>0</v>
      </c>
      <c r="V694">
        <v>1</v>
      </c>
      <c r="W694">
        <v>0.22500000000000001</v>
      </c>
      <c r="X694">
        <f t="shared" si="187"/>
        <v>627.75</v>
      </c>
      <c r="Y694">
        <f t="shared" si="188"/>
        <v>627.75</v>
      </c>
      <c r="Z694">
        <f t="shared" si="189"/>
        <v>0</v>
      </c>
      <c r="AB694" t="s">
        <v>40</v>
      </c>
    </row>
    <row r="695" spans="1:28" x14ac:dyDescent="0.25">
      <c r="A695" t="s">
        <v>969</v>
      </c>
      <c r="B695" t="s">
        <v>406</v>
      </c>
      <c r="D695" t="s">
        <v>991</v>
      </c>
      <c r="E695" t="s">
        <v>417</v>
      </c>
      <c r="F695">
        <v>1980</v>
      </c>
      <c r="G695">
        <v>1980</v>
      </c>
      <c r="H695">
        <v>1</v>
      </c>
      <c r="I695">
        <f t="shared" si="180"/>
        <v>0</v>
      </c>
      <c r="J695">
        <v>1</v>
      </c>
      <c r="K695">
        <f t="shared" si="181"/>
        <v>1980</v>
      </c>
      <c r="L695" t="s">
        <v>37</v>
      </c>
      <c r="N695">
        <f t="shared" si="179"/>
        <v>588.9312000000001</v>
      </c>
      <c r="O695">
        <f t="shared" si="182"/>
        <v>6.5188571428571263E-2</v>
      </c>
      <c r="P695" t="s">
        <v>39</v>
      </c>
      <c r="Q695">
        <f t="shared" si="183"/>
        <v>1.4141414141414141</v>
      </c>
      <c r="R695">
        <f t="shared" si="184"/>
        <v>2800</v>
      </c>
      <c r="S695">
        <f t="shared" si="185"/>
        <v>2800</v>
      </c>
      <c r="T695">
        <v>2800</v>
      </c>
      <c r="U695">
        <f t="shared" si="186"/>
        <v>0</v>
      </c>
      <c r="V695">
        <v>1</v>
      </c>
      <c r="W695">
        <v>0.22500000000000001</v>
      </c>
      <c r="X695">
        <f t="shared" si="187"/>
        <v>630</v>
      </c>
      <c r="Y695">
        <f t="shared" si="188"/>
        <v>630</v>
      </c>
      <c r="Z695">
        <f t="shared" si="189"/>
        <v>0</v>
      </c>
      <c r="AB695" t="s">
        <v>40</v>
      </c>
    </row>
    <row r="696" spans="1:28" x14ac:dyDescent="0.25">
      <c r="A696" t="s">
        <v>969</v>
      </c>
      <c r="B696" t="s">
        <v>407</v>
      </c>
      <c r="D696" t="s">
        <v>992</v>
      </c>
      <c r="E696" t="s">
        <v>417</v>
      </c>
      <c r="F696">
        <v>2300</v>
      </c>
      <c r="G696">
        <v>2300</v>
      </c>
      <c r="H696">
        <v>1</v>
      </c>
      <c r="I696">
        <f t="shared" si="180"/>
        <v>0</v>
      </c>
      <c r="J696">
        <v>1</v>
      </c>
      <c r="K696">
        <f t="shared" si="181"/>
        <v>2300</v>
      </c>
      <c r="L696" t="s">
        <v>37</v>
      </c>
      <c r="N696">
        <f t="shared" si="179"/>
        <v>684.11200000000008</v>
      </c>
      <c r="O696">
        <f t="shared" si="182"/>
        <v>6.1574759945130203E-2</v>
      </c>
      <c r="P696" t="s">
        <v>39</v>
      </c>
      <c r="Q696">
        <f t="shared" si="183"/>
        <v>1.4086956521739131</v>
      </c>
      <c r="R696">
        <f t="shared" si="184"/>
        <v>3240</v>
      </c>
      <c r="S696">
        <f t="shared" si="185"/>
        <v>3240</v>
      </c>
      <c r="T696">
        <v>3240</v>
      </c>
      <c r="U696">
        <f t="shared" si="186"/>
        <v>0</v>
      </c>
      <c r="V696">
        <v>1</v>
      </c>
      <c r="W696">
        <v>0.22500000000000001</v>
      </c>
      <c r="X696">
        <f t="shared" si="187"/>
        <v>729</v>
      </c>
      <c r="Y696">
        <f t="shared" si="188"/>
        <v>729</v>
      </c>
      <c r="Z696">
        <f t="shared" si="189"/>
        <v>0</v>
      </c>
      <c r="AB696" t="s">
        <v>40</v>
      </c>
    </row>
    <row r="697" spans="1:28" x14ac:dyDescent="0.25">
      <c r="A697" t="s">
        <v>969</v>
      </c>
      <c r="B697" t="s">
        <v>408</v>
      </c>
      <c r="D697" t="s">
        <v>993</v>
      </c>
      <c r="E697" t="s">
        <v>417</v>
      </c>
      <c r="F697">
        <v>2560</v>
      </c>
      <c r="G697">
        <v>2560</v>
      </c>
      <c r="H697">
        <v>1</v>
      </c>
      <c r="I697">
        <f t="shared" si="180"/>
        <v>0</v>
      </c>
      <c r="J697">
        <v>1</v>
      </c>
      <c r="K697">
        <f t="shared" si="181"/>
        <v>2560</v>
      </c>
      <c r="L697" t="s">
        <v>37</v>
      </c>
      <c r="N697">
        <f t="shared" si="179"/>
        <v>761.44640000000015</v>
      </c>
      <c r="O697">
        <f t="shared" si="182"/>
        <v>5.9942716049382526E-2</v>
      </c>
      <c r="P697" t="s">
        <v>39</v>
      </c>
      <c r="Q697">
        <f t="shared" si="183"/>
        <v>1.40625</v>
      </c>
      <c r="R697">
        <f t="shared" si="184"/>
        <v>3600</v>
      </c>
      <c r="S697">
        <f t="shared" si="185"/>
        <v>3600</v>
      </c>
      <c r="T697">
        <v>3600</v>
      </c>
      <c r="U697">
        <f t="shared" si="186"/>
        <v>0</v>
      </c>
      <c r="V697">
        <v>1</v>
      </c>
      <c r="W697">
        <v>0.22500000000000001</v>
      </c>
      <c r="X697">
        <f t="shared" si="187"/>
        <v>810</v>
      </c>
      <c r="Y697">
        <f t="shared" si="188"/>
        <v>810</v>
      </c>
      <c r="Z697">
        <f t="shared" si="189"/>
        <v>0</v>
      </c>
      <c r="AB697" t="s">
        <v>40</v>
      </c>
    </row>
    <row r="698" spans="1:28" x14ac:dyDescent="0.25">
      <c r="A698" t="s">
        <v>969</v>
      </c>
      <c r="B698" t="s">
        <v>409</v>
      </c>
      <c r="D698" t="s">
        <v>994</v>
      </c>
      <c r="E698" t="s">
        <v>417</v>
      </c>
      <c r="F698">
        <v>2940</v>
      </c>
      <c r="G698">
        <v>2940</v>
      </c>
      <c r="H698">
        <v>1</v>
      </c>
      <c r="I698">
        <f t="shared" si="180"/>
        <v>0</v>
      </c>
      <c r="J698">
        <v>1</v>
      </c>
      <c r="K698">
        <f t="shared" si="181"/>
        <v>2940</v>
      </c>
      <c r="L698" t="s">
        <v>37</v>
      </c>
      <c r="N698">
        <f t="shared" si="179"/>
        <v>874.47360000000015</v>
      </c>
      <c r="O698">
        <f t="shared" si="182"/>
        <v>5.2061138211381953E-2</v>
      </c>
      <c r="P698" t="s">
        <v>39</v>
      </c>
      <c r="Q698">
        <f t="shared" si="183"/>
        <v>1.3945578231292517</v>
      </c>
      <c r="R698">
        <f t="shared" si="184"/>
        <v>4100</v>
      </c>
      <c r="S698">
        <f t="shared" si="185"/>
        <v>4100</v>
      </c>
      <c r="T698">
        <v>4100</v>
      </c>
      <c r="U698">
        <f t="shared" si="186"/>
        <v>0</v>
      </c>
      <c r="V698">
        <v>1</v>
      </c>
      <c r="W698">
        <v>0.22500000000000001</v>
      </c>
      <c r="X698">
        <f t="shared" si="187"/>
        <v>922.5</v>
      </c>
      <c r="Y698">
        <f t="shared" si="188"/>
        <v>922.5</v>
      </c>
      <c r="Z698">
        <f t="shared" si="189"/>
        <v>0</v>
      </c>
      <c r="AB698" t="s">
        <v>40</v>
      </c>
    </row>
    <row r="699" spans="1:28" x14ac:dyDescent="0.25">
      <c r="A699" t="s">
        <v>969</v>
      </c>
      <c r="B699" t="s">
        <v>410</v>
      </c>
      <c r="D699" t="s">
        <v>995</v>
      </c>
      <c r="E699" t="s">
        <v>417</v>
      </c>
      <c r="F699">
        <v>3740</v>
      </c>
      <c r="G699">
        <v>3740</v>
      </c>
      <c r="H699">
        <v>1</v>
      </c>
      <c r="I699">
        <f t="shared" si="180"/>
        <v>0</v>
      </c>
      <c r="J699">
        <v>1</v>
      </c>
      <c r="K699">
        <f t="shared" si="181"/>
        <v>3740</v>
      </c>
      <c r="L699" t="s">
        <v>37</v>
      </c>
      <c r="N699">
        <f t="shared" si="179"/>
        <v>1112.4256</v>
      </c>
      <c r="O699">
        <f t="shared" si="182"/>
        <v>5.2851766709237948E-2</v>
      </c>
      <c r="P699" t="s">
        <v>39</v>
      </c>
      <c r="Q699">
        <f t="shared" si="183"/>
        <v>1.3957219251336899</v>
      </c>
      <c r="R699">
        <f t="shared" si="184"/>
        <v>5220</v>
      </c>
      <c r="S699">
        <f t="shared" si="185"/>
        <v>5220</v>
      </c>
      <c r="T699">
        <v>5220</v>
      </c>
      <c r="U699">
        <f t="shared" si="186"/>
        <v>0</v>
      </c>
      <c r="V699">
        <v>1</v>
      </c>
      <c r="W699">
        <v>0.22500000000000001</v>
      </c>
      <c r="X699">
        <f t="shared" si="187"/>
        <v>1174.5</v>
      </c>
      <c r="Y699">
        <f t="shared" si="188"/>
        <v>1174.5</v>
      </c>
      <c r="Z699">
        <f t="shared" si="189"/>
        <v>0</v>
      </c>
      <c r="AB699" t="s">
        <v>40</v>
      </c>
    </row>
    <row r="700" spans="1:28" x14ac:dyDescent="0.25">
      <c r="A700" t="s">
        <v>969</v>
      </c>
      <c r="B700" t="s">
        <v>411</v>
      </c>
      <c r="D700" t="s">
        <v>996</v>
      </c>
      <c r="E700" t="s">
        <v>417</v>
      </c>
      <c r="F700">
        <v>4770</v>
      </c>
      <c r="G700">
        <v>4770</v>
      </c>
      <c r="H700">
        <v>1</v>
      </c>
      <c r="I700">
        <f t="shared" si="180"/>
        <v>0</v>
      </c>
      <c r="J700">
        <v>1</v>
      </c>
      <c r="K700">
        <f t="shared" si="181"/>
        <v>4770</v>
      </c>
      <c r="L700" t="s">
        <v>37</v>
      </c>
      <c r="N700">
        <f t="shared" si="179"/>
        <v>1418.7888000000003</v>
      </c>
      <c r="O700">
        <f t="shared" si="182"/>
        <v>5.1770225563909596E-2</v>
      </c>
      <c r="P700" t="s">
        <v>39</v>
      </c>
      <c r="Q700">
        <f t="shared" si="183"/>
        <v>1.3941299790356394</v>
      </c>
      <c r="R700">
        <f t="shared" si="184"/>
        <v>6650</v>
      </c>
      <c r="S700">
        <f t="shared" si="185"/>
        <v>6650</v>
      </c>
      <c r="T700">
        <v>6650</v>
      </c>
      <c r="U700">
        <f t="shared" si="186"/>
        <v>0</v>
      </c>
      <c r="V700">
        <v>1</v>
      </c>
      <c r="W700">
        <v>0.22500000000000001</v>
      </c>
      <c r="X700">
        <f t="shared" si="187"/>
        <v>1496.25</v>
      </c>
      <c r="Y700">
        <f t="shared" si="188"/>
        <v>1496.25</v>
      </c>
      <c r="Z700">
        <f t="shared" si="189"/>
        <v>0</v>
      </c>
      <c r="AB700" t="s">
        <v>40</v>
      </c>
    </row>
    <row r="701" spans="1:28" x14ac:dyDescent="0.25">
      <c r="A701" t="s">
        <v>969</v>
      </c>
      <c r="B701" t="s">
        <v>997</v>
      </c>
      <c r="D701" t="s">
        <v>998</v>
      </c>
      <c r="E701" t="s">
        <v>417</v>
      </c>
      <c r="F701">
        <v>6180</v>
      </c>
      <c r="G701">
        <v>6180</v>
      </c>
      <c r="H701">
        <v>1</v>
      </c>
      <c r="I701">
        <f t="shared" si="180"/>
        <v>0</v>
      </c>
      <c r="J701">
        <v>1</v>
      </c>
      <c r="K701">
        <f t="shared" si="181"/>
        <v>6180</v>
      </c>
      <c r="L701" t="s">
        <v>37</v>
      </c>
      <c r="N701">
        <f t="shared" si="179"/>
        <v>1838.1792000000003</v>
      </c>
      <c r="O701">
        <f t="shared" si="182"/>
        <v>5.8792012288786347E-2</v>
      </c>
      <c r="P701" t="s">
        <v>39</v>
      </c>
      <c r="Q701">
        <f t="shared" si="183"/>
        <v>1.4045307443365695</v>
      </c>
      <c r="R701">
        <f t="shared" si="184"/>
        <v>8680</v>
      </c>
      <c r="S701">
        <f t="shared" si="185"/>
        <v>8680</v>
      </c>
      <c r="T701">
        <v>8680</v>
      </c>
      <c r="U701">
        <f t="shared" si="186"/>
        <v>0</v>
      </c>
      <c r="V701">
        <v>1</v>
      </c>
      <c r="W701">
        <v>0.22500000000000001</v>
      </c>
      <c r="X701">
        <f t="shared" si="187"/>
        <v>1953</v>
      </c>
      <c r="Y701">
        <f t="shared" si="188"/>
        <v>1953</v>
      </c>
      <c r="Z701">
        <f t="shared" si="189"/>
        <v>0</v>
      </c>
      <c r="AB701" t="s">
        <v>40</v>
      </c>
    </row>
    <row r="702" spans="1:28" x14ac:dyDescent="0.25">
      <c r="A702" t="s">
        <v>969</v>
      </c>
      <c r="B702" t="s">
        <v>999</v>
      </c>
      <c r="D702" t="s">
        <v>1000</v>
      </c>
      <c r="E702" t="s">
        <v>417</v>
      </c>
      <c r="F702">
        <v>7290</v>
      </c>
      <c r="G702">
        <v>7290</v>
      </c>
      <c r="H702">
        <v>1</v>
      </c>
      <c r="I702">
        <f t="shared" si="180"/>
        <v>0</v>
      </c>
      <c r="J702">
        <v>1</v>
      </c>
      <c r="K702">
        <f t="shared" si="181"/>
        <v>7290</v>
      </c>
      <c r="L702" t="s">
        <v>37</v>
      </c>
      <c r="N702">
        <f t="shared" si="179"/>
        <v>2168.3376000000003</v>
      </c>
      <c r="O702">
        <f t="shared" si="182"/>
        <v>5.5190588235293991E-2</v>
      </c>
      <c r="P702" t="s">
        <v>39</v>
      </c>
      <c r="Q702">
        <f t="shared" si="183"/>
        <v>1.3991769547325104</v>
      </c>
      <c r="R702">
        <f t="shared" si="184"/>
        <v>10200</v>
      </c>
      <c r="S702">
        <f t="shared" si="185"/>
        <v>10200</v>
      </c>
      <c r="T702">
        <v>10200</v>
      </c>
      <c r="U702">
        <f t="shared" si="186"/>
        <v>0</v>
      </c>
      <c r="V702">
        <v>1</v>
      </c>
      <c r="W702">
        <v>0.22500000000000001</v>
      </c>
      <c r="X702">
        <f t="shared" si="187"/>
        <v>2295</v>
      </c>
      <c r="Y702">
        <f t="shared" si="188"/>
        <v>2295</v>
      </c>
      <c r="Z702">
        <f t="shared" si="189"/>
        <v>0</v>
      </c>
      <c r="AB702" t="s">
        <v>40</v>
      </c>
    </row>
    <row r="703" spans="1:28" x14ac:dyDescent="0.25">
      <c r="A703" t="s">
        <v>969</v>
      </c>
      <c r="B703" t="s">
        <v>412</v>
      </c>
      <c r="D703" t="s">
        <v>1001</v>
      </c>
      <c r="E703" t="s">
        <v>417</v>
      </c>
      <c r="F703">
        <v>13600</v>
      </c>
      <c r="G703">
        <v>13600</v>
      </c>
      <c r="H703">
        <v>1</v>
      </c>
      <c r="I703">
        <f t="shared" si="180"/>
        <v>0</v>
      </c>
      <c r="J703">
        <v>1</v>
      </c>
      <c r="K703">
        <f t="shared" si="181"/>
        <v>13600</v>
      </c>
      <c r="L703" t="s">
        <v>37</v>
      </c>
      <c r="N703">
        <f t="shared" si="179"/>
        <v>4045.1840000000007</v>
      </c>
      <c r="O703">
        <f t="shared" si="182"/>
        <v>5.5746031746031592E-2</v>
      </c>
      <c r="P703" t="s">
        <v>39</v>
      </c>
      <c r="Q703">
        <f t="shared" si="183"/>
        <v>1.4</v>
      </c>
      <c r="R703">
        <f t="shared" si="184"/>
        <v>19040</v>
      </c>
      <c r="S703">
        <f t="shared" si="185"/>
        <v>19040</v>
      </c>
      <c r="T703">
        <v>19040</v>
      </c>
      <c r="U703">
        <f t="shared" si="186"/>
        <v>0</v>
      </c>
      <c r="V703">
        <v>1</v>
      </c>
      <c r="W703">
        <v>0.22500000000000001</v>
      </c>
      <c r="X703">
        <f t="shared" si="187"/>
        <v>4284</v>
      </c>
      <c r="Y703">
        <f t="shared" si="188"/>
        <v>4284</v>
      </c>
      <c r="Z703">
        <f t="shared" si="189"/>
        <v>0</v>
      </c>
      <c r="AB703" t="s">
        <v>40</v>
      </c>
    </row>
    <row r="704" spans="1:28" x14ac:dyDescent="0.25">
      <c r="A704" t="s">
        <v>969</v>
      </c>
      <c r="B704" t="s">
        <v>413</v>
      </c>
      <c r="D704" t="s">
        <v>1002</v>
      </c>
      <c r="E704" t="s">
        <v>417</v>
      </c>
      <c r="F704">
        <v>16080</v>
      </c>
      <c r="G704">
        <v>16080</v>
      </c>
      <c r="H704">
        <v>1</v>
      </c>
      <c r="I704">
        <f t="shared" si="180"/>
        <v>0</v>
      </c>
      <c r="J704">
        <v>1</v>
      </c>
      <c r="K704">
        <f t="shared" si="181"/>
        <v>16080</v>
      </c>
      <c r="L704" t="s">
        <v>37</v>
      </c>
      <c r="N704">
        <f t="shared" si="179"/>
        <v>4782.8352000000004</v>
      </c>
      <c r="O704">
        <f t="shared" si="182"/>
        <v>5.5242429629629546E-2</v>
      </c>
      <c r="P704" t="s">
        <v>39</v>
      </c>
      <c r="Q704">
        <f t="shared" si="183"/>
        <v>1.3992537313432836</v>
      </c>
      <c r="R704">
        <f t="shared" si="184"/>
        <v>22500</v>
      </c>
      <c r="S704">
        <f t="shared" si="185"/>
        <v>22500</v>
      </c>
      <c r="T704">
        <v>22500</v>
      </c>
      <c r="U704">
        <f t="shared" si="186"/>
        <v>0</v>
      </c>
      <c r="V704">
        <v>1</v>
      </c>
      <c r="W704">
        <v>0.22500000000000001</v>
      </c>
      <c r="X704">
        <f t="shared" si="187"/>
        <v>5062.5</v>
      </c>
      <c r="Y704">
        <f t="shared" si="188"/>
        <v>5062.5</v>
      </c>
      <c r="Z704">
        <f t="shared" si="189"/>
        <v>0</v>
      </c>
      <c r="AB704" t="s">
        <v>40</v>
      </c>
    </row>
    <row r="705" spans="1:28" x14ac:dyDescent="0.25">
      <c r="A705" t="s">
        <v>969</v>
      </c>
      <c r="B705" t="s">
        <v>414</v>
      </c>
      <c r="D705" t="s">
        <v>1003</v>
      </c>
      <c r="E705" t="s">
        <v>417</v>
      </c>
      <c r="F705">
        <v>21250</v>
      </c>
      <c r="G705">
        <v>21250</v>
      </c>
      <c r="H705">
        <v>1</v>
      </c>
      <c r="I705">
        <f t="shared" si="180"/>
        <v>0</v>
      </c>
      <c r="J705">
        <v>1</v>
      </c>
      <c r="K705">
        <f t="shared" si="181"/>
        <v>21250</v>
      </c>
      <c r="L705" t="s">
        <v>37</v>
      </c>
      <c r="N705">
        <f t="shared" si="179"/>
        <v>6320.6000000000013</v>
      </c>
      <c r="O705">
        <f t="shared" si="182"/>
        <v>5.5110812123929993E-2</v>
      </c>
      <c r="P705" t="s">
        <v>39</v>
      </c>
      <c r="Q705">
        <f t="shared" si="183"/>
        <v>1.3990588235294117</v>
      </c>
      <c r="R705">
        <f t="shared" si="184"/>
        <v>29730</v>
      </c>
      <c r="S705">
        <f t="shared" si="185"/>
        <v>29730</v>
      </c>
      <c r="T705">
        <v>29730</v>
      </c>
      <c r="U705">
        <f t="shared" si="186"/>
        <v>0</v>
      </c>
      <c r="V705">
        <v>1</v>
      </c>
      <c r="W705">
        <v>0.22500000000000001</v>
      </c>
      <c r="X705">
        <f t="shared" si="187"/>
        <v>6689.25</v>
      </c>
      <c r="Y705">
        <f t="shared" si="188"/>
        <v>6689.25</v>
      </c>
      <c r="Z705">
        <f t="shared" si="189"/>
        <v>0</v>
      </c>
      <c r="AB705" t="s">
        <v>40</v>
      </c>
    </row>
    <row r="706" spans="1:28" x14ac:dyDescent="0.25">
      <c r="A706" t="s">
        <v>969</v>
      </c>
      <c r="B706" t="s">
        <v>415</v>
      </c>
      <c r="D706" t="s">
        <v>1004</v>
      </c>
      <c r="E706" t="s">
        <v>417</v>
      </c>
      <c r="F706">
        <v>58080</v>
      </c>
      <c r="G706">
        <v>58080</v>
      </c>
      <c r="H706">
        <v>1</v>
      </c>
      <c r="I706">
        <f t="shared" si="180"/>
        <v>0</v>
      </c>
      <c r="J706">
        <v>1</v>
      </c>
      <c r="K706">
        <f t="shared" si="181"/>
        <v>58080</v>
      </c>
      <c r="L706" t="s">
        <v>37</v>
      </c>
      <c r="N706">
        <f t="shared" si="179"/>
        <v>17275.315200000001</v>
      </c>
      <c r="O706">
        <f t="shared" si="182"/>
        <v>5.4443612479474497E-2</v>
      </c>
      <c r="P706" t="s">
        <v>39</v>
      </c>
      <c r="Q706">
        <f t="shared" si="183"/>
        <v>1.3980716253443526</v>
      </c>
      <c r="R706">
        <f t="shared" si="184"/>
        <v>81200</v>
      </c>
      <c r="S706">
        <f t="shared" si="185"/>
        <v>81200</v>
      </c>
      <c r="T706">
        <v>81200</v>
      </c>
      <c r="U706">
        <f t="shared" si="186"/>
        <v>0</v>
      </c>
      <c r="V706">
        <v>1</v>
      </c>
      <c r="W706">
        <v>0.22500000000000001</v>
      </c>
      <c r="X706">
        <f t="shared" si="187"/>
        <v>18270</v>
      </c>
      <c r="Y706">
        <f t="shared" si="188"/>
        <v>18270</v>
      </c>
      <c r="Z706">
        <f t="shared" si="189"/>
        <v>0</v>
      </c>
      <c r="AB706" t="s">
        <v>40</v>
      </c>
    </row>
  </sheetData>
  <autoFilter ref="A4:AE7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AKT updated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Pipo_Sorawee Popayorm</cp:lastModifiedBy>
  <dcterms:created xsi:type="dcterms:W3CDTF">2025-03-24T03:20:07Z</dcterms:created>
  <dcterms:modified xsi:type="dcterms:W3CDTF">2025-03-24T03:29:46Z</dcterms:modified>
</cp:coreProperties>
</file>